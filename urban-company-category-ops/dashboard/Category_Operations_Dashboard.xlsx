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31f7f3345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5963becf05284445"/>
    <x:sheet xmlns:r="http://schemas.openxmlformats.org/officeDocument/2006/relationships" name="Scenario KPIs" sheetId="2" r:id="R91df5b6a86c24d47"/>
    <x:sheet xmlns:r="http://schemas.openxmlformats.org/officeDocument/2006/relationships" name="Zone Drilldown" sheetId="3" r:id="Rc0a1c876058f4a12"/>
    <x:sheet xmlns:r="http://schemas.openxmlformats.org/officeDocument/2006/relationships" name="Category Drilldown" sheetId="4" r:id="Rbead7127d335451c"/>
    <x:sheet xmlns:r="http://schemas.openxmlformats.org/officeDocument/2006/relationships" name="Onboarding Plan" sheetId="5" r:id="Rb3cd2957d32a44cd"/>
    <x:sheet xmlns:r="http://schemas.openxmlformats.org/officeDocument/2006/relationships" name="Candidate Funnel" sheetId="6" r:id="Rd1027fc9d5ee464c"/>
    <x:sheet xmlns:r="http://schemas.openxmlformats.org/officeDocument/2006/relationships" name="Model &amp; Sources" sheetId="7" r:id="Ra014c4eba4ee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"/>
    <x:numFmt numFmtId="203" formatCode="0.0%"/>
    <x:numFmt numFmtId="204" formatCode="0.0&quot; pp&quot;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9"/>
      <x:color rgb="FFFFFFFF"/>
      <x:name val="Carlito"/>
    </x:font>
    <x:font>
      <x:sz val="11"/>
      <x:color rgb="FF10213B"/>
      <x:name val="Carlito"/>
    </x:font>
    <x:font>
      <x:b/>
      <x:sz val="28"/>
      <x:color rgb="FF0866CF"/>
      <x:name val="Carlito"/>
    </x:font>
    <x:font>
      <x:sz val="10"/>
      <x:color rgb="FF10213B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13B"/>
      </x:patternFill>
    </x:fill>
    <x:fill>
      <x:patternFill patternType="solid">
        <x:fgColor rgb="FFD9F3E7"/>
      </x:patternFill>
    </x:fill>
    <x:fill>
      <x:patternFill patternType="solid">
        <x:fgColor rgb="FFFFF2D0"/>
      </x:patternFill>
    </x:fill>
    <x:fill>
      <x:patternFill patternType="solid">
        <x:fgColor rgb="FFCFEAFF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203" fontId="4" fillId="6" borderId="0" xfId="0" applyNumberFormat="1" applyFont="1" applyFill="1" applyBorder="1" applyAlignment="1">
      <x:alignment horizontal="center" vertical="center"/>
    </x:xf>
    <x:xf numFmtId="203" fontId="4" fillId="6" borderId="1" xfId="0" applyNumberFormat="1" applyFont="1" applyFill="1" applyBorder="1" applyAlignment="1">
      <x:alignment horizontal="center" vertical="center"/>
    </x:xf>
    <x:xf numFmtId="204" fontId="4" fillId="6" borderId="0" xfId="0" applyNumberFormat="1" applyFont="1" applyFill="1" applyBorder="1" applyAlignment="1">
      <x:alignment horizontal="center" vertical="center"/>
    </x:xf>
    <x:xf numFmtId="204" fontId="4" fillId="6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865faf24f4523" /><Relationship Type="http://schemas.openxmlformats.org/officeDocument/2006/relationships/theme" Target="/xl/theme/theme1.xml" Id="Rd5666ee8cef64f86" /><Relationship Type="http://schemas.openxmlformats.org/officeDocument/2006/relationships/sharedStrings" Target="/xl/sharedStrings.xml" Id="Rd7bcb20f5b874449" /><Relationship Type="http://schemas.openxmlformats.org/officeDocument/2006/relationships/worksheet" Target="/xl/worksheets/sheet1.xml" Id="R5963becf05284445" /><Relationship Type="http://schemas.openxmlformats.org/officeDocument/2006/relationships/worksheet" Target="/xl/worksheets/sheet2.xml" Id="R91df5b6a86c24d47" /><Relationship Type="http://schemas.openxmlformats.org/officeDocument/2006/relationships/worksheet" Target="/xl/worksheets/sheet3.xml" Id="Rc0a1c876058f4a12" /><Relationship Type="http://schemas.openxmlformats.org/officeDocument/2006/relationships/worksheet" Target="/xl/worksheets/sheet4.xml" Id="Rbead7127d335451c" /><Relationship Type="http://schemas.openxmlformats.org/officeDocument/2006/relationships/worksheet" Target="/xl/worksheets/sheet5.xml" Id="Rb3cd2957d32a44cd" /><Relationship Type="http://schemas.openxmlformats.org/officeDocument/2006/relationships/worksheet" Target="/xl/worksheets/sheet6.xml" Id="Rd1027fc9d5ee464c" /><Relationship Type="http://schemas.openxmlformats.org/officeDocument/2006/relationships/worksheet" Target="/xl/worksheets/sheet7.xml" Id="Ra014c4eba4ee4a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62c330f26244d2" /><Relationship Type="http://schemas.openxmlformats.org/officeDocument/2006/relationships/chart" Target="/xl/drawings/charts/chart2.xml" Id="Ra7f3d87bfe8840f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Fill Rate</c:v>
          </c:tx>
          <c:cat>
            <c:strRef>
              <c:f>'Scenario KPIs'!$A$2:$A$6</c:f>
              <c:strCache>
                <c:ptCount val="0"/>
              </c:strCache>
            </c:strRef>
          </c:cat>
          <c:val>
            <c:numRef>
              <c:f>'Scenario KPIs'!$E$2:$E$6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On-Time</c:v>
          </c:tx>
          <c:cat>
            <c:strRef>
              <c:f>'Scenario KPIs'!$A$2:$A$6</c:f>
              <c:strCache>
                <c:ptCount val="0"/>
              </c:strCache>
            </c:strRef>
          </c:cat>
          <c:val>
            <c:numRef>
              <c:f>'Scenario KPIs'!$F$2:$F$6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62c330f26244d2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17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f3d87bfe8840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c1c7475c3344e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  <x:col min="14" max="14" width="13.5" hidden="0" customWidth="1"/>
    <x:col min="15" max="15" width="13.5" hidden="0" customWidth="1"/>
    <x:col min="16" max="16" width="13.5" hidden="0" customWidth="1"/>
    <x:col min="17" max="17" width="13.5" hidden="0" customWidth="1"/>
  </x:cols>
  <x:sheetData>
    <x:row r="1" ht="27" customHeight="1">
      <x:c r="A1" s="29" t="str">
        <x:v>SERVICE CATEGORY OPERATIONS | HYDERABAD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27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7" customHeight="1">
      <x:c r="A3" s="33" t="str">
        <x:v>Synthetic 28-day simulation  |  10-day planning window / 18-day evaluation  |  Five policy scenarios  |  Seed 42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</x:row>
    <x:row r="5" ht="25" customHeight="1">
      <x:c r="A5" s="36" t="str">
        <x:v>BASELINE FILL</x:v>
      </x:c>
      <x:c r="B5" s="36"/>
      <x:c r="C5" s="36"/>
      <x:c r="D5" s="36"/>
      <x:c r="E5" s="36" t="str">
        <x:v>RECOMMENDED FILL</x:v>
      </x:c>
      <x:c r="F5" s="36"/>
      <x:c r="G5" s="36"/>
      <x:c r="H5" s="36"/>
      <x:c r="I5" s="36" t="str">
        <x:v>FILL IMPROVEMENT (PP)</x:v>
      </x:c>
      <x:c r="J5" s="36"/>
      <x:c r="K5" s="36"/>
      <x:c r="L5" s="36"/>
      <x:c r="M5" s="36" t="str">
        <x:v>ON-TIME FULFILLMENT GAIN (PP)</x:v>
      </x:c>
      <x:c r="N5" s="36"/>
      <x:c r="O5" s="36"/>
      <x:c r="P5" s="36"/>
      <x:c r="Q5" s="36"/>
    </x:row>
    <x:row r="6" ht="20" customHeight="1">
      <x:c r="A6" s="46" t="n">
        <x:f>'Scenario KPIs'!E2/100</x:f>
        <x:v>0.7012999999999999</x:v>
      </x:c>
      <x:c r="B6" s="41"/>
      <x:c r="C6" s="41"/>
      <x:c r="D6" s="41"/>
      <x:c r="E6" s="46" t="n">
        <x:f>'Scenario KPIs'!E5/100</x:f>
        <x:v>0.9153</x:v>
      </x:c>
      <x:c r="F6" s="41"/>
      <x:c r="G6" s="41"/>
      <x:c r="H6" s="41"/>
      <x:c r="I6" s="48" t="n">
        <x:f>'Scenario KPIs'!E5-'Scenario KPIs'!E2</x:f>
        <x:v>21.400000000000006</x:v>
      </x:c>
      <x:c r="J6" s="41"/>
      <x:c r="K6" s="41"/>
      <x:c r="L6" s="41"/>
      <x:c r="M6" s="48" t="n">
        <x:f>'Scenario KPIs'!F5-'Scenario KPIs'!F2</x:f>
        <x:v>8.469999999999999</x:v>
      </x:c>
      <x:c r="N6" s="41"/>
      <x:c r="O6" s="41"/>
      <x:c r="P6" s="41"/>
      <x:c r="Q6" s="41"/>
    </x:row>
    <x:row r="7" ht="20" customHeight="1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</x:row>
    <x:row r="8" ht="20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</x:row>
    <x:row r="10" ht="25" customHeight="1">
      <x:c r="A10" s="52" t="str">
        <x:v>RECOMMENDATION: Test the quality-safe playbook in a limited pilot. The model increases fulfilled requests and total on-time completions, but cross-zone pooling can reduce punctuality among completed jobs. Validate travel, earnings and complaints before a live rollout.</x:v>
      </x:c>
      <x:c r="B10" s="52"/>
      <x:c r="C10" s="52"/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</x:row>
    <x:row r="11" ht="25" customHeight="1">
      <x:c r="A11" s="52"/>
      <x:c r="B11" s="52"/>
      <x:c r="C11" s="52"/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</x:row>
    <x:row r="29" ht="26" customHeight="1">
      <x:c r="A29" s="56" t="str">
        <x:v>POLICY SCORECARD — metrics are synthetic, not company results</x:v>
      </x:c>
      <x:c r="B29" s="56"/>
      <x:c r="C29" s="56"/>
      <x:c r="D29" s="56"/>
      <x:c r="E29" s="56"/>
      <x:c r="F29" s="56"/>
      <x:c r="G29" s="56"/>
      <x:c r="H29" s="56"/>
    </x:row>
    <x:row r="30" ht="31" customHeight="1">
      <x:c r="A30" s="5" t="str">
        <x:v>Scenario</x:v>
      </x:c>
      <x:c r="B30" s="5" t="str">
        <x:v>Requests</x:v>
      </x:c>
      <x:c r="C30" s="5" t="str">
        <x:v>Completed</x:v>
      </x:c>
      <x:c r="D30" s="5" t="str">
        <x:v>Fill (%)</x:v>
      </x:c>
      <x:c r="E30" s="5" t="str">
        <x:v>On-time / all (%)</x:v>
      </x:c>
      <x:c r="F30" s="5" t="str">
        <x:v>Complaints (%)</x:v>
      </x:c>
      <x:c r="G30" s="5" t="str">
        <x:v>Program spend</x:v>
      </x:c>
      <x:c r="H30" s="5" t="str">
        <x:v>Selected</x:v>
      </x:c>
    </x:row>
    <x:row r="31">
      <x:c r="A31" t="str">
        <x:f>'Scenario KPIs'!A2</x:f>
        <x:v>Baseline</x:v>
      </x:c>
      <x:c r="B31" t="n">
        <x:f>'Scenario KPIs'!B2</x:f>
        <x:v>1925</x:v>
      </x:c>
      <x:c r="C31" t="n">
        <x:f>'Scenario KPIs'!D2</x:f>
        <x:v>1350</x:v>
      </x:c>
      <x:c r="D31" s="26" t="n">
        <x:f>'Scenario KPIs'!E2</x:f>
        <x:v>70.13</x:v>
      </x:c>
      <x:c r="E31" s="26" t="n">
        <x:f>'Scenario KPIs'!F2</x:f>
        <x:v>70.13</x:v>
      </x:c>
      <x:c r="F31" s="26" t="n">
        <x:f>'Scenario KPIs'!H2</x:f>
        <x:v>10.96</x:v>
      </x:c>
      <x:c r="G31" s="12" t="n">
        <x:f>'Scenario KPIs'!M2</x:f>
        <x:v>0</x:v>
      </x:c>
      <x:c r="H31" t="n">
        <x:f>'Scenario KPIs'!N2</x:f>
        <x:v>0</x:v>
      </x:c>
    </x:row>
    <x:row r="32">
      <x:c r="A32" t="str">
        <x:f>'Scenario KPIs'!A3</x:f>
        <x:v>Zone Pooling</x:v>
      </x:c>
      <x:c r="B32" t="n">
        <x:f>'Scenario KPIs'!B3</x:f>
        <x:v>1925</x:v>
      </x:c>
      <x:c r="C32" t="n">
        <x:f>'Scenario KPIs'!D3</x:f>
        <x:v>1706</x:v>
      </x:c>
      <x:c r="D32" s="26" t="n">
        <x:f>'Scenario KPIs'!E3</x:f>
        <x:v>88.62</x:v>
      </x:c>
      <x:c r="E32" s="26" t="n">
        <x:f>'Scenario KPIs'!F3</x:f>
        <x:v>74.75</x:v>
      </x:c>
      <x:c r="F32" s="26" t="n">
        <x:f>'Scenario KPIs'!H3</x:f>
        <x:v>12.08</x:v>
      </x:c>
      <x:c r="G32" s="12" t="n">
        <x:f>'Scenario KPIs'!M3</x:f>
        <x:v>0</x:v>
      </x:c>
      <x:c r="H32" t="n">
        <x:f>'Scenario KPIs'!N3</x:f>
        <x:v>0</x:v>
      </x:c>
    </x:row>
    <x:row r="33">
      <x:c r="A33" t="str">
        <x:f>'Scenario KPIs'!A4</x:f>
        <x:v>Pooling + Onboarding</x:v>
      </x:c>
      <x:c r="B33" t="n">
        <x:f>'Scenario KPIs'!B4</x:f>
        <x:v>1925</x:v>
      </x:c>
      <x:c r="C33" t="n">
        <x:f>'Scenario KPIs'!D4</x:f>
        <x:v>1750</x:v>
      </x:c>
      <x:c r="D33" s="26" t="n">
        <x:f>'Scenario KPIs'!E4</x:f>
        <x:v>90.91</x:v>
      </x:c>
      <x:c r="E33" s="26" t="n">
        <x:f>'Scenario KPIs'!F4</x:f>
        <x:v>78.08</x:v>
      </x:c>
      <x:c r="F33" s="26" t="n">
        <x:f>'Scenario KPIs'!H4</x:f>
        <x:v>12.06</x:v>
      </x:c>
      <x:c r="G33" s="12" t="n">
        <x:f>'Scenario KPIs'!M4</x:f>
        <x:v>18000</x:v>
      </x:c>
      <x:c r="H33" t="n">
        <x:f>'Scenario KPIs'!N4</x:f>
        <x:v>12</x:v>
      </x:c>
    </x:row>
    <x:row r="34">
      <x:c r="A34" s="14" t="str">
        <x:f>'Scenario KPIs'!A5</x:f>
        <x:v>Quality-Safe Playbook</x:v>
      </x:c>
      <x:c r="B34" s="14" t="n">
        <x:f>'Scenario KPIs'!B5</x:f>
        <x:v>1925</x:v>
      </x:c>
      <x:c r="C34" s="14" t="n">
        <x:f>'Scenario KPIs'!D5</x:f>
        <x:v>1762</x:v>
      </x:c>
      <x:c r="D34" s="58" t="n">
        <x:f>'Scenario KPIs'!E5</x:f>
        <x:v>91.53</x:v>
      </x:c>
      <x:c r="E34" s="58" t="n">
        <x:f>'Scenario KPIs'!F5</x:f>
        <x:v>78.6</x:v>
      </x:c>
      <x:c r="F34" s="58" t="n">
        <x:f>'Scenario KPIs'!H5</x:f>
        <x:v>10.33</x:v>
      </x:c>
      <x:c r="G34" s="16" t="n">
        <x:f>'Scenario KPIs'!M5</x:f>
        <x:v>43650</x:v>
      </x:c>
      <x:c r="H34" s="14" t="n">
        <x:f>'Scenario KPIs'!N5</x:f>
        <x:v>12</x:v>
      </x:c>
    </x:row>
    <x:row r="35">
      <x:c r="A35" s="20" t="str">
        <x:f>'Scenario KPIs'!A6</x:f>
        <x:v>Peak-Shift Experiment</x:v>
      </x:c>
      <x:c r="B35" s="20" t="n">
        <x:f>'Scenario KPIs'!B6</x:f>
        <x:v>1925</x:v>
      </x:c>
      <x:c r="C35" s="20" t="n">
        <x:f>'Scenario KPIs'!D6</x:f>
        <x:v>1757</x:v>
      </x:c>
      <x:c r="D35" s="60" t="n">
        <x:f>'Scenario KPIs'!E6</x:f>
        <x:v>91.27</x:v>
      </x:c>
      <x:c r="E35" s="60" t="n">
        <x:f>'Scenario KPIs'!F6</x:f>
        <x:v>76.57</x:v>
      </x:c>
      <x:c r="F35" s="60" t="n">
        <x:f>'Scenario KPIs'!H6</x:f>
        <x:v>10.02</x:v>
      </x:c>
      <x:c r="G35" s="22" t="n">
        <x:f>'Scenario KPIs'!M6</x:f>
        <x:v>46850</x:v>
      </x:c>
      <x:c r="H35" s="20" t="n">
        <x:f>'Scenario KPIs'!N6</x:f>
        <x:v>12</x:v>
      </x:c>
    </x:row>
    <x:row r="37" ht="25" customHeight="1">
      <x:c r="A37" s="64" t="str">
        <x:v>Method note: Fill = completed / requested; On-time fulfillment = on-time completed / requested; Complaint rate = complained completed / completed. Travel is a modeled one-hop proxy, not map ETA. No real UC data, prices, earnings, or proprietary metrics are used.</x:v>
      </x:c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</x:row>
    <x:row r="38" ht="25" customHeight="1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</x:row>
  </x:sheetData>
  <x:mergeCells>
    <x:mergeCell ref="A1:Q2"/>
    <x:mergeCell ref="A3:Q3"/>
    <x:mergeCell ref="A5:D5"/>
    <x:mergeCell ref="A6:D8"/>
    <x:mergeCell ref="E5:H5"/>
    <x:mergeCell ref="E6:H8"/>
    <x:mergeCell ref="I5:L5"/>
    <x:mergeCell ref="I6:L8"/>
    <x:mergeCell ref="M5:Q5"/>
    <x:mergeCell ref="M6:Q8"/>
    <x:mergeCell ref="A10:Q11"/>
    <x:mergeCell ref="A29:H29"/>
    <x:mergeCell ref="A37:Q38"/>
  </x:mergeCells>
  <x:pageMargins left="0.7" right="0.7" top="0.75" bottom="0.75" header="0.3" footer="0.3"/>
  <x:drawing xmlns:r="http://schemas.openxmlformats.org/officeDocument/2006/relationships" r:id="Rb0c1c7475c3344ec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1" customHeight="1">
      <x:c r="A1" s="5" t="str">
        <x:v>Scenario</x:v>
      </x:c>
      <x:c r="B1" s="5" t="str">
        <x:v>Requests</x:v>
      </x:c>
      <x:c r="C1" s="5" t="str">
        <x:v>Assigned</x:v>
      </x:c>
      <x:c r="D1" s="5" t="str">
        <x:v>Completed</x:v>
      </x:c>
      <x:c r="E1" s="5" t="str">
        <x:v>Fill Rate (%)</x:v>
      </x:c>
      <x:c r="F1" s="5" t="str">
        <x:v>On-Time Fulfillment (%)</x:v>
      </x:c>
      <x:c r="G1" s="5" t="str">
        <x:v>On-Time / Completed (%)</x:v>
      </x:c>
      <x:c r="H1" s="5" t="str">
        <x:v>Complaint Rate (%)</x:v>
      </x:c>
      <x:c r="I1" s="5" t="str">
        <x:v>Cancellation / Assigned (%)</x:v>
      </x:c>
      <x:c r="J1" s="5" t="str">
        <x:v>Partner Slot Utilization (%)</x:v>
      </x:c>
      <x:c r="K1" s="5" t="str">
        <x:v>No Supply</x:v>
      </x:c>
      <x:c r="L1" s="5" t="str">
        <x:v>Partner Declines</x:v>
      </x:c>
      <x:c r="M1" s="5" t="str">
        <x:v>Program Spend (INR)</x:v>
      </x:c>
      <x:c r="N1" s="5" t="str">
        <x:v>New Partners Selected</x:v>
      </x:c>
      <x:c r="O1" s="5" t="str">
        <x:v>Coached Partners</x:v>
      </x:c>
      <x:c r="P1" s="5" t="str">
        <x:v>Flexible Shift Changes</x:v>
      </x:c>
      <x:c r="Q1" s="5" t="str">
        <x:v>Completed Value Proxy (INR)</x:v>
      </x:c>
      <x:c r="R1" s="5" t="str">
        <x:v>Model Partner Count</x:v>
      </x:c>
    </x:row>
    <x:row r="2">
      <x:c r="A2" t="str">
        <x:v>Baseline</x:v>
      </x:c>
      <x:c r="B2" t="n">
        <x:v>1925</x:v>
      </x:c>
      <x:c r="C2" t="n">
        <x:v>1400</x:v>
      </x:c>
      <x:c r="D2" t="n">
        <x:v>1350</x:v>
      </x:c>
      <x:c r="E2" s="10" t="n">
        <x:v>70.13</x:v>
      </x:c>
      <x:c r="F2" s="10" t="n">
        <x:v>70.13</x:v>
      </x:c>
      <x:c r="G2" s="10" t="n">
        <x:v>100</x:v>
      </x:c>
      <x:c r="H2" s="10" t="n">
        <x:v>10.96</x:v>
      </x:c>
      <x:c r="I2" s="10" t="n">
        <x:v>3.57</x:v>
      </x:c>
      <x:c r="J2" s="10" t="n">
        <x:v>55.23</x:v>
      </x:c>
      <x:c r="K2" t="n">
        <x:v>461</x:v>
      </x:c>
      <x:c r="L2" t="n">
        <x:v>64</x:v>
      </x:c>
      <x:c r="M2" s="12" t="n">
        <x:v>0</x:v>
      </x:c>
      <x:c r="N2" t="n">
        <x:v>0</x:v>
      </x:c>
      <x:c r="O2" t="n">
        <x:v>0</x:v>
      </x:c>
      <x:c r="P2" t="n">
        <x:v>0</x:v>
      </x:c>
      <x:c r="Q2" s="12" t="n">
        <x:v>1138300</x:v>
      </x:c>
      <x:c r="R2" t="n">
        <x:v>96</x:v>
      </x:c>
    </x:row>
    <x:row r="3">
      <x:c r="A3" t="str">
        <x:v>Zone Pooling</x:v>
      </x:c>
      <x:c r="B3" t="n">
        <x:v>1925</x:v>
      </x:c>
      <x:c r="C3" t="n">
        <x:v>1774</x:v>
      </x:c>
      <x:c r="D3" t="n">
        <x:v>1706</x:v>
      </x:c>
      <x:c r="E3" s="10" t="n">
        <x:v>88.62</x:v>
      </x:c>
      <x:c r="F3" s="10" t="n">
        <x:v>74.75</x:v>
      </x:c>
      <x:c r="G3" s="10" t="n">
        <x:v>84.35</x:v>
      </x:c>
      <x:c r="H3" s="10" t="n">
        <x:v>12.08</x:v>
      </x:c>
      <x:c r="I3" s="10" t="n">
        <x:v>3.83</x:v>
      </x:c>
      <x:c r="J3" s="10" t="n">
        <x:v>69.98</x:v>
      </x:c>
      <x:c r="K3" t="n">
        <x:v>131</x:v>
      </x:c>
      <x:c r="L3" t="n">
        <x:v>20</x:v>
      </x:c>
      <x:c r="M3" s="12" t="n">
        <x:v>0</x:v>
      </x:c>
      <x:c r="N3" t="n">
        <x:v>0</x:v>
      </x:c>
      <x:c r="O3" t="n">
        <x:v>0</x:v>
      </x:c>
      <x:c r="P3" t="n">
        <x:v>0</x:v>
      </x:c>
      <x:c r="Q3" s="12" t="n">
        <x:v>1442900</x:v>
      </x:c>
      <x:c r="R3" t="n">
        <x:v>96</x:v>
      </x:c>
    </x:row>
    <x:row r="4">
      <x:c r="A4" t="str">
        <x:v>Pooling + Onboarding</x:v>
      </x:c>
      <x:c r="B4" t="n">
        <x:v>1925</x:v>
      </x:c>
      <x:c r="C4" t="n">
        <x:v>1821</x:v>
      </x:c>
      <x:c r="D4" t="n">
        <x:v>1750</x:v>
      </x:c>
      <x:c r="E4" s="10" t="n">
        <x:v>90.91</x:v>
      </x:c>
      <x:c r="F4" s="10" t="n">
        <x:v>78.08</x:v>
      </x:c>
      <x:c r="G4" s="10" t="n">
        <x:v>85.89</x:v>
      </x:c>
      <x:c r="H4" s="10" t="n">
        <x:v>12.06</x:v>
      </x:c>
      <x:c r="I4" s="10" t="n">
        <x:v>3.9</x:v>
      </x:c>
      <x:c r="J4" s="10" t="n">
        <x:v>64.71</x:v>
      </x:c>
      <x:c r="K4" t="n">
        <x:v>95</x:v>
      </x:c>
      <x:c r="L4" t="n">
        <x:v>9</x:v>
      </x:c>
      <x:c r="M4" s="12" t="n">
        <x:v>18000</x:v>
      </x:c>
      <x:c r="N4" t="n">
        <x:v>12</x:v>
      </x:c>
      <x:c r="O4" t="n">
        <x:v>0</x:v>
      </x:c>
      <x:c r="P4" t="n">
        <x:v>0</x:v>
      </x:c>
      <x:c r="Q4" s="12" t="n">
        <x:v>1481250</x:v>
      </x:c>
      <x:c r="R4" t="n">
        <x:v>108</x:v>
      </x:c>
    </x:row>
    <x:row r="5">
      <x:c r="A5" s="14" t="str">
        <x:v>Quality-Safe Playbook</x:v>
      </x:c>
      <x:c r="B5" s="14" t="n">
        <x:v>1925</x:v>
      </x:c>
      <x:c r="C5" s="14" t="n">
        <x:v>1821</x:v>
      </x:c>
      <x:c r="D5" s="14" t="n">
        <x:v>1762</x:v>
      </x:c>
      <x:c r="E5" s="15" t="n">
        <x:v>91.53</x:v>
      </x:c>
      <x:c r="F5" s="15" t="n">
        <x:v>78.6</x:v>
      </x:c>
      <x:c r="G5" s="15" t="n">
        <x:v>85.87</x:v>
      </x:c>
      <x:c r="H5" s="15" t="n">
        <x:v>10.33</x:v>
      </x:c>
      <x:c r="I5" s="15" t="n">
        <x:v>3.24</x:v>
      </x:c>
      <x:c r="J5" s="15" t="n">
        <x:v>64.71</x:v>
      </x:c>
      <x:c r="K5" s="14" t="n">
        <x:v>95</x:v>
      </x:c>
      <x:c r="L5" s="14" t="n">
        <x:v>9</x:v>
      </x:c>
      <x:c r="M5" s="16" t="n">
        <x:v>43650</x:v>
      </x:c>
      <x:c r="N5" s="14" t="n">
        <x:v>12</x:v>
      </x:c>
      <x:c r="O5" s="14" t="n">
        <x:v>57</x:v>
      </x:c>
      <x:c r="P5" s="14" t="n">
        <x:v>0</x:v>
      </x:c>
      <x:c r="Q5" s="16" t="n">
        <x:v>1492550</x:v>
      </x:c>
      <x:c r="R5" s="14" t="n">
        <x:v>108</x:v>
      </x:c>
    </x:row>
    <x:row r="6">
      <x:c r="A6" s="20" t="str">
        <x:v>Peak-Shift Experiment</x:v>
      </x:c>
      <x:c r="B6" s="20" t="n">
        <x:v>1925</x:v>
      </x:c>
      <x:c r="C6" s="20" t="n">
        <x:v>1815</x:v>
      </x:c>
      <x:c r="D6" s="20" t="n">
        <x:v>1757</x:v>
      </x:c>
      <x:c r="E6" s="21" t="n">
        <x:v>91.27</x:v>
      </x:c>
      <x:c r="F6" s="21" t="n">
        <x:v>76.57</x:v>
      </x:c>
      <x:c r="G6" s="21" t="n">
        <x:v>83.89</x:v>
      </x:c>
      <x:c r="H6" s="21" t="n">
        <x:v>10.02</x:v>
      </x:c>
      <x:c r="I6" s="21" t="n">
        <x:v>3.2</x:v>
      </x:c>
      <x:c r="J6" s="21" t="n">
        <x:v>64.64</x:v>
      </x:c>
      <x:c r="K6" s="20" t="n">
        <x:v>93</x:v>
      </x:c>
      <x:c r="L6" s="20" t="n">
        <x:v>17</x:v>
      </x:c>
      <x:c r="M6" s="22" t="n">
        <x:v>46850</x:v>
      </x:c>
      <x:c r="N6" s="20" t="n">
        <x:v>12</x:v>
      </x:c>
      <x:c r="O6" s="20" t="n">
        <x:v>57</x:v>
      </x:c>
      <x:c r="P6" s="20" t="n">
        <x:v>16</x:v>
      </x:c>
      <x:c r="Q6" s="22" t="n">
        <x:v>1487900</x:v>
      </x:c>
      <x:c r="R6" s="20" t="n">
        <x:v>108</x:v>
      </x:c>
    </x:row>
  </x:sheetData>
  <x:conditionalFormatting sqref="E2:F6">
    <x:cfRule type="colorScale" priority="1">
      <x:colorScale>
        <x:cfvo type="min"/>
        <x:cfvo type="percentile" val="50"/>
        <x:cfvo type="max"/>
        <x:color rgb="FFFEE2E2"/>
        <x:color rgb="FFFFF1C2"/>
        <x:color rgb="FFD1FAE5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1" customHeight="1">
      <x:c r="A1" s="5" t="str">
        <x:v>Scenario</x:v>
      </x:c>
      <x:c r="B1" s="5" t="str">
        <x:v>Zone</x:v>
      </x:c>
      <x:c r="C1" s="5" t="str">
        <x:v>Requests</x:v>
      </x:c>
      <x:c r="D1" s="5" t="str">
        <x:v>Assigned</x:v>
      </x:c>
      <x:c r="E1" s="5" t="str">
        <x:v>Completed</x:v>
      </x:c>
      <x:c r="F1" s="5" t="str">
        <x:v>Fill Rate (%)</x:v>
      </x:c>
      <x:c r="G1" s="5" t="str">
        <x:v>On-Time Fulfillment (%)</x:v>
      </x:c>
      <x:c r="H1" s="5" t="str">
        <x:v>On-Time/Completed (%)</x:v>
      </x:c>
      <x:c r="I1" s="5" t="str">
        <x:v>Complaints (%)</x:v>
      </x:c>
      <x:c r="J1" s="5" t="str">
        <x:v>Cancellations (%)</x:v>
      </x:c>
    </x:row>
    <x:row r="2" ht="19" customHeight="1">
      <x:c r="A2" t="str">
        <x:v>Baseline</x:v>
      </x:c>
      <x:c r="B2" t="str">
        <x:v>Banjara Hills</x:v>
      </x:c>
      <x:c r="C2" t="n">
        <x:v>232</x:v>
      </x:c>
      <x:c r="D2" t="n">
        <x:v>177</x:v>
      </x:c>
      <x:c r="E2" t="n">
        <x:v>174</x:v>
      </x:c>
      <x:c r="F2" s="26" t="n">
        <x:v>75</x:v>
      </x:c>
      <x:c r="G2" s="26" t="n">
        <x:v>75</x:v>
      </x:c>
      <x:c r="H2" s="26" t="n">
        <x:v>100</x:v>
      </x:c>
      <x:c r="I2" s="26" t="n">
        <x:v>10.34</x:v>
      </x:c>
      <x:c r="J2" t="n">
        <x:v>1.69</x:v>
      </x:c>
    </x:row>
    <x:row r="3" ht="19" customHeight="1">
      <x:c r="A3" t="str">
        <x:v>Baseline</x:v>
      </x:c>
      <x:c r="B3" t="str">
        <x:v>Gachibowli</x:v>
      </x:c>
      <x:c r="C3" t="n">
        <x:v>277</x:v>
      </x:c>
      <x:c r="D3" t="n">
        <x:v>192</x:v>
      </x:c>
      <x:c r="E3" t="n">
        <x:v>182</x:v>
      </x:c>
      <x:c r="F3" s="26" t="n">
        <x:v>65.7</x:v>
      </x:c>
      <x:c r="G3" s="26" t="n">
        <x:v>65.7</x:v>
      </x:c>
      <x:c r="H3" s="26" t="n">
        <x:v>100</x:v>
      </x:c>
      <x:c r="I3" s="26" t="n">
        <x:v>8.24</x:v>
      </x:c>
      <x:c r="J3" t="n">
        <x:v>5.21</x:v>
      </x:c>
    </x:row>
    <x:row r="4" ht="19" customHeight="1">
      <x:c r="A4" t="str">
        <x:v>Baseline</x:v>
      </x:c>
      <x:c r="B4" t="str">
        <x:v>HITEC City</x:v>
      </x:c>
      <x:c r="C4" t="n">
        <x:v>233</x:v>
      </x:c>
      <x:c r="D4" t="n">
        <x:v>174</x:v>
      </x:c>
      <x:c r="E4" t="n">
        <x:v>169</x:v>
      </x:c>
      <x:c r="F4" s="26" t="n">
        <x:v>72.53</x:v>
      </x:c>
      <x:c r="G4" s="26" t="n">
        <x:v>72.53</x:v>
      </x:c>
      <x:c r="H4" s="26" t="n">
        <x:v>100</x:v>
      </x:c>
      <x:c r="I4" s="26" t="n">
        <x:v>13.02</x:v>
      </x:c>
      <x:c r="J4" t="n">
        <x:v>2.87</x:v>
      </x:c>
    </x:row>
    <x:row r="5" ht="19" customHeight="1">
      <x:c r="A5" t="str">
        <x:v>Baseline</x:v>
      </x:c>
      <x:c r="B5" t="str">
        <x:v>Kondapur</x:v>
      </x:c>
      <x:c r="C5" t="n">
        <x:v>262</x:v>
      </x:c>
      <x:c r="D5" t="n">
        <x:v>190</x:v>
      </x:c>
      <x:c r="E5" t="n">
        <x:v>182</x:v>
      </x:c>
      <x:c r="F5" s="26" t="n">
        <x:v>69.47</x:v>
      </x:c>
      <x:c r="G5" s="26" t="n">
        <x:v>69.47</x:v>
      </x:c>
      <x:c r="H5" s="26" t="n">
        <x:v>100</x:v>
      </x:c>
      <x:c r="I5" s="26" t="n">
        <x:v>9.34</x:v>
      </x:c>
      <x:c r="J5" t="n">
        <x:v>4.21</x:v>
      </x:c>
    </x:row>
    <x:row r="6" ht="19" customHeight="1">
      <x:c r="A6" t="str">
        <x:v>Baseline</x:v>
      </x:c>
      <x:c r="B6" t="str">
        <x:v>Kukatpally</x:v>
      </x:c>
      <x:c r="C6" t="n">
        <x:v>240</x:v>
      </x:c>
      <x:c r="D6" t="n">
        <x:v>178</x:v>
      </x:c>
      <x:c r="E6" t="n">
        <x:v>166</x:v>
      </x:c>
      <x:c r="F6" s="26" t="n">
        <x:v>69.17</x:v>
      </x:c>
      <x:c r="G6" s="26" t="n">
        <x:v>69.17</x:v>
      </x:c>
      <x:c r="H6" s="26" t="n">
        <x:v>100</x:v>
      </x:c>
      <x:c r="I6" s="26" t="n">
        <x:v>14.46</x:v>
      </x:c>
      <x:c r="J6" t="n">
        <x:v>6.74</x:v>
      </x:c>
    </x:row>
    <x:row r="7" ht="19" customHeight="1">
      <x:c r="A7" t="str">
        <x:v>Baseline</x:v>
      </x:c>
      <x:c r="B7" t="str">
        <x:v>Madhapur</x:v>
      </x:c>
      <x:c r="C7" t="n">
        <x:v>275</x:v>
      </x:c>
      <x:c r="D7" t="n">
        <x:v>190</x:v>
      </x:c>
      <x:c r="E7" t="n">
        <x:v>187</x:v>
      </x:c>
      <x:c r="F7" s="26" t="n">
        <x:v>68</x:v>
      </x:c>
      <x:c r="G7" s="26" t="n">
        <x:v>68</x:v>
      </x:c>
      <x:c r="H7" s="26" t="n">
        <x:v>100</x:v>
      </x:c>
      <x:c r="I7" s="26" t="n">
        <x:v>12.3</x:v>
      </x:c>
      <x:c r="J7" t="n">
        <x:v>1.58</x:v>
      </x:c>
    </x:row>
    <x:row r="8" ht="19" customHeight="1">
      <x:c r="A8" t="str">
        <x:v>Baseline</x:v>
      </x:c>
      <x:c r="B8" t="str">
        <x:v>Manikonda</x:v>
      </x:c>
      <x:c r="C8" t="n">
        <x:v>216</x:v>
      </x:c>
      <x:c r="D8" t="n">
        <x:v>150</x:v>
      </x:c>
      <x:c r="E8" t="n">
        <x:v>145</x:v>
      </x:c>
      <x:c r="F8" s="26" t="n">
        <x:v>67.13</x:v>
      </x:c>
      <x:c r="G8" s="26" t="n">
        <x:v>67.13</x:v>
      </x:c>
      <x:c r="H8" s="26" t="n">
        <x:v>100</x:v>
      </x:c>
      <x:c r="I8" s="26" t="n">
        <x:v>7.59</x:v>
      </x:c>
      <x:c r="J8" t="n">
        <x:v>3.33</x:v>
      </x:c>
    </x:row>
    <x:row r="9" ht="19" customHeight="1">
      <x:c r="A9" t="str">
        <x:v>Baseline</x:v>
      </x:c>
      <x:c r="B9" t="str">
        <x:v>Miyapur</x:v>
      </x:c>
      <x:c r="C9" t="n">
        <x:v>190</x:v>
      </x:c>
      <x:c r="D9" t="n">
        <x:v>149</x:v>
      </x:c>
      <x:c r="E9" t="n">
        <x:v>145</x:v>
      </x:c>
      <x:c r="F9" s="26" t="n">
        <x:v>76.32</x:v>
      </x:c>
      <x:c r="G9" s="26" t="n">
        <x:v>76.32</x:v>
      </x:c>
      <x:c r="H9" s="26" t="n">
        <x:v>100</x:v>
      </x:c>
      <x:c r="I9" s="26" t="n">
        <x:v>12.41</x:v>
      </x:c>
      <x:c r="J9" t="n">
        <x:v>2.68</x:v>
      </x:c>
    </x:row>
    <x:row r="10" ht="19" customHeight="1">
      <x:c r="A10" t="str">
        <x:v>Zone Pooling</x:v>
      </x:c>
      <x:c r="B10" t="str">
        <x:v>Banjara Hills</x:v>
      </x:c>
      <x:c r="C10" t="n">
        <x:v>232</x:v>
      </x:c>
      <x:c r="D10" t="n">
        <x:v>209</x:v>
      </x:c>
      <x:c r="E10" t="n">
        <x:v>206</x:v>
      </x:c>
      <x:c r="F10" s="26" t="n">
        <x:v>88.79</x:v>
      </x:c>
      <x:c r="G10" s="26" t="n">
        <x:v>75.86</x:v>
      </x:c>
      <x:c r="H10" s="26" t="n">
        <x:v>85.44</x:v>
      </x:c>
      <x:c r="I10" s="26" t="n">
        <x:v>13.59</x:v>
      </x:c>
      <x:c r="J10" t="n">
        <x:v>1.44</x:v>
      </x:c>
    </x:row>
    <x:row r="11" ht="19" customHeight="1">
      <x:c r="A11" t="str">
        <x:v>Zone Pooling</x:v>
      </x:c>
      <x:c r="B11" t="str">
        <x:v>Gachibowli</x:v>
      </x:c>
      <x:c r="C11" t="n">
        <x:v>277</x:v>
      </x:c>
      <x:c r="D11" t="n">
        <x:v>250</x:v>
      </x:c>
      <x:c r="E11" t="n">
        <x:v>235</x:v>
      </x:c>
      <x:c r="F11" s="26" t="n">
        <x:v>84.84</x:v>
      </x:c>
      <x:c r="G11" s="26" t="n">
        <x:v>68.95</x:v>
      </x:c>
      <x:c r="H11" s="26" t="n">
        <x:v>81.28</x:v>
      </x:c>
      <x:c r="I11" s="26" t="n">
        <x:v>9.79</x:v>
      </x:c>
      <x:c r="J11" t="n">
        <x:v>6</x:v>
      </x:c>
    </x:row>
    <x:row r="12" ht="19" customHeight="1">
      <x:c r="A12" t="str">
        <x:v>Zone Pooling</x:v>
      </x:c>
      <x:c r="B12" t="str">
        <x:v>HITEC City</x:v>
      </x:c>
      <x:c r="C12" t="n">
        <x:v>233</x:v>
      </x:c>
      <x:c r="D12" t="n">
        <x:v>216</x:v>
      </x:c>
      <x:c r="E12" t="n">
        <x:v>210</x:v>
      </x:c>
      <x:c r="F12" s="26" t="n">
        <x:v>90.13</x:v>
      </x:c>
      <x:c r="G12" s="26" t="n">
        <x:v>75.11</x:v>
      </x:c>
      <x:c r="H12" s="26" t="n">
        <x:v>83.33</x:v>
      </x:c>
      <x:c r="I12" s="26" t="n">
        <x:v>15.24</x:v>
      </x:c>
      <x:c r="J12" t="n">
        <x:v>2.78</x:v>
      </x:c>
    </x:row>
    <x:row r="13" ht="19" customHeight="1">
      <x:c r="A13" t="str">
        <x:v>Zone Pooling</x:v>
      </x:c>
      <x:c r="B13" t="str">
        <x:v>Kondapur</x:v>
      </x:c>
      <x:c r="C13" t="n">
        <x:v>262</x:v>
      </x:c>
      <x:c r="D13" t="n">
        <x:v>244</x:v>
      </x:c>
      <x:c r="E13" t="n">
        <x:v>235</x:v>
      </x:c>
      <x:c r="F13" s="26" t="n">
        <x:v>89.69</x:v>
      </x:c>
      <x:c r="G13" s="26" t="n">
        <x:v>78.24</x:v>
      </x:c>
      <x:c r="H13" s="26" t="n">
        <x:v>87.23</x:v>
      </x:c>
      <x:c r="I13" s="26" t="n">
        <x:v>8.94</x:v>
      </x:c>
      <x:c r="J13" t="n">
        <x:v>3.69</x:v>
      </x:c>
    </x:row>
    <x:row r="14" ht="19" customHeight="1">
      <x:c r="A14" t="str">
        <x:v>Zone Pooling</x:v>
      </x:c>
      <x:c r="B14" t="str">
        <x:v>Kukatpally</x:v>
      </x:c>
      <x:c r="C14" t="n">
        <x:v>240</x:v>
      </x:c>
      <x:c r="D14" t="n">
        <x:v>214</x:v>
      </x:c>
      <x:c r="E14" t="n">
        <x:v>201</x:v>
      </x:c>
      <x:c r="F14" s="26" t="n">
        <x:v>83.75</x:v>
      </x:c>
      <x:c r="G14" s="26" t="n">
        <x:v>73.75</x:v>
      </x:c>
      <x:c r="H14" s="26" t="n">
        <x:v>88.06</x:v>
      </x:c>
      <x:c r="I14" s="26" t="n">
        <x:v>14.93</x:v>
      </x:c>
      <x:c r="J14" t="n">
        <x:v>6.07</x:v>
      </x:c>
    </x:row>
    <x:row r="15" ht="19" customHeight="1">
      <x:c r="A15" t="str">
        <x:v>Zone Pooling</x:v>
      </x:c>
      <x:c r="B15" t="str">
        <x:v>Madhapur</x:v>
      </x:c>
      <x:c r="C15" t="n">
        <x:v>275</x:v>
      </x:c>
      <x:c r="D15" t="n">
        <x:v>263</x:v>
      </x:c>
      <x:c r="E15" t="n">
        <x:v>258</x:v>
      </x:c>
      <x:c r="F15" s="26" t="n">
        <x:v>93.82</x:v>
      </x:c>
      <x:c r="G15" s="26" t="n">
        <x:v>74.91</x:v>
      </x:c>
      <x:c r="H15" s="26" t="n">
        <x:v>79.84</x:v>
      </x:c>
      <x:c r="I15" s="26" t="n">
        <x:v>13.18</x:v>
      </x:c>
      <x:c r="J15" t="n">
        <x:v>1.9</x:v>
      </x:c>
    </x:row>
    <x:row r="16" ht="19" customHeight="1">
      <x:c r="A16" t="str">
        <x:v>Zone Pooling</x:v>
      </x:c>
      <x:c r="B16" t="str">
        <x:v>Manikonda</x:v>
      </x:c>
      <x:c r="C16" t="n">
        <x:v>216</x:v>
      </x:c>
      <x:c r="D16" t="n">
        <x:v>199</x:v>
      </x:c>
      <x:c r="E16" t="n">
        <x:v>188</x:v>
      </x:c>
      <x:c r="F16" s="26" t="n">
        <x:v>87.04</x:v>
      </x:c>
      <x:c r="G16" s="26" t="n">
        <x:v>70.37</x:v>
      </x:c>
      <x:c r="H16" s="26" t="n">
        <x:v>80.85</x:v>
      </x:c>
      <x:c r="I16" s="26" t="n">
        <x:v>7.98</x:v>
      </x:c>
      <x:c r="J16" t="n">
        <x:v>5.53</x:v>
      </x:c>
    </x:row>
    <x:row r="17" ht="19" customHeight="1">
      <x:c r="A17" t="str">
        <x:v>Zone Pooling</x:v>
      </x:c>
      <x:c r="B17" t="str">
        <x:v>Miyapur</x:v>
      </x:c>
      <x:c r="C17" t="n">
        <x:v>190</x:v>
      </x:c>
      <x:c r="D17" t="n">
        <x:v>179</x:v>
      </x:c>
      <x:c r="E17" t="n">
        <x:v>173</x:v>
      </x:c>
      <x:c r="F17" s="26" t="n">
        <x:v>91.05</x:v>
      </x:c>
      <x:c r="G17" s="26" t="n">
        <x:v>82.63</x:v>
      </x:c>
      <x:c r="H17" s="26" t="n">
        <x:v>90.75</x:v>
      </x:c>
      <x:c r="I17" s="26" t="n">
        <x:v>13.29</x:v>
      </x:c>
      <x:c r="J17" t="n">
        <x:v>3.35</x:v>
      </x:c>
    </x:row>
    <x:row r="18" ht="19" customHeight="1">
      <x:c r="A18" t="str">
        <x:v>Pooling + Onboarding</x:v>
      </x:c>
      <x:c r="B18" t="str">
        <x:v>Banjara Hills</x:v>
      </x:c>
      <x:c r="C18" t="n">
        <x:v>232</x:v>
      </x:c>
      <x:c r="D18" t="n">
        <x:v>210</x:v>
      </x:c>
      <x:c r="E18" t="n">
        <x:v>207</x:v>
      </x:c>
      <x:c r="F18" s="26" t="n">
        <x:v>89.22</x:v>
      </x:c>
      <x:c r="G18" s="26" t="n">
        <x:v>77.59</x:v>
      </x:c>
      <x:c r="H18" s="26" t="n">
        <x:v>86.96</x:v>
      </x:c>
      <x:c r="I18" s="26" t="n">
        <x:v>12.08</x:v>
      </x:c>
      <x:c r="J18" t="n">
        <x:v>1.43</x:v>
      </x:c>
    </x:row>
    <x:row r="19" ht="19" customHeight="1">
      <x:c r="A19" t="str">
        <x:v>Pooling + Onboarding</x:v>
      </x:c>
      <x:c r="B19" t="str">
        <x:v>Gachibowli</x:v>
      </x:c>
      <x:c r="C19" t="n">
        <x:v>277</x:v>
      </x:c>
      <x:c r="D19" t="n">
        <x:v>260</x:v>
      </x:c>
      <x:c r="E19" t="n">
        <x:v>248</x:v>
      </x:c>
      <x:c r="F19" s="26" t="n">
        <x:v>89.53</x:v>
      </x:c>
      <x:c r="G19" s="26" t="n">
        <x:v>77.26</x:v>
      </x:c>
      <x:c r="H19" s="26" t="n">
        <x:v>86.29</x:v>
      </x:c>
      <x:c r="I19" s="26" t="n">
        <x:v>10.89</x:v>
      </x:c>
      <x:c r="J19" t="n">
        <x:v>4.62</x:v>
      </x:c>
    </x:row>
    <x:row r="20" ht="19" customHeight="1">
      <x:c r="A20" t="str">
        <x:v>Pooling + Onboarding</x:v>
      </x:c>
      <x:c r="B20" t="str">
        <x:v>HITEC City</x:v>
      </x:c>
      <x:c r="C20" t="n">
        <x:v>233</x:v>
      </x:c>
      <x:c r="D20" t="n">
        <x:v>222</x:v>
      </x:c>
      <x:c r="E20" t="n">
        <x:v>213</x:v>
      </x:c>
      <x:c r="F20" s="26" t="n">
        <x:v>91.42</x:v>
      </x:c>
      <x:c r="G20" s="26" t="n">
        <x:v>79.83</x:v>
      </x:c>
      <x:c r="H20" s="26" t="n">
        <x:v>87.32</x:v>
      </x:c>
      <x:c r="I20" s="26" t="n">
        <x:v>15.49</x:v>
      </x:c>
      <x:c r="J20" t="n">
        <x:v>4.05</x:v>
      </x:c>
    </x:row>
    <x:row r="21" ht="19" customHeight="1">
      <x:c r="A21" t="str">
        <x:v>Pooling + Onboarding</x:v>
      </x:c>
      <x:c r="B21" t="str">
        <x:v>Kondapur</x:v>
      </x:c>
      <x:c r="C21" t="n">
        <x:v>262</x:v>
      </x:c>
      <x:c r="D21" t="n">
        <x:v>253</x:v>
      </x:c>
      <x:c r="E21" t="n">
        <x:v>244</x:v>
      </x:c>
      <x:c r="F21" s="26" t="n">
        <x:v>93.13</x:v>
      </x:c>
      <x:c r="G21" s="26" t="n">
        <x:v>83.21</x:v>
      </x:c>
      <x:c r="H21" s="26" t="n">
        <x:v>89.34</x:v>
      </x:c>
      <x:c r="I21" s="26" t="n">
        <x:v>9.43</x:v>
      </x:c>
      <x:c r="J21" t="n">
        <x:v>3.56</x:v>
      </x:c>
    </x:row>
    <x:row r="22" ht="19" customHeight="1">
      <x:c r="A22" t="str">
        <x:v>Pooling + Onboarding</x:v>
      </x:c>
      <x:c r="B22" t="str">
        <x:v>Kukatpally</x:v>
      </x:c>
      <x:c r="C22" t="n">
        <x:v>240</x:v>
      </x:c>
      <x:c r="D22" t="n">
        <x:v>221</x:v>
      </x:c>
      <x:c r="E22" t="n">
        <x:v>207</x:v>
      </x:c>
      <x:c r="F22" s="26" t="n">
        <x:v>86.25</x:v>
      </x:c>
      <x:c r="G22" s="26" t="n">
        <x:v>77.08</x:v>
      </x:c>
      <x:c r="H22" s="26" t="n">
        <x:v>89.37</x:v>
      </x:c>
      <x:c r="I22" s="26" t="n">
        <x:v>14.98</x:v>
      </x:c>
      <x:c r="J22" t="n">
        <x:v>6.33</x:v>
      </x:c>
    </x:row>
    <x:row r="23" ht="19" customHeight="1">
      <x:c r="A23" t="str">
        <x:v>Pooling + Onboarding</x:v>
      </x:c>
      <x:c r="B23" t="str">
        <x:v>Madhapur</x:v>
      </x:c>
      <x:c r="C23" t="n">
        <x:v>275</x:v>
      </x:c>
      <x:c r="D23" t="n">
        <x:v>268</x:v>
      </x:c>
      <x:c r="E23" t="n">
        <x:v>260</x:v>
      </x:c>
      <x:c r="F23" s="26" t="n">
        <x:v>94.55</x:v>
      </x:c>
      <x:c r="G23" s="26" t="n">
        <x:v>74.55</x:v>
      </x:c>
      <x:c r="H23" s="26" t="n">
        <x:v>78.85</x:v>
      </x:c>
      <x:c r="I23" s="26" t="n">
        <x:v>12.69</x:v>
      </x:c>
      <x:c r="J23" t="n">
        <x:v>2.99</x:v>
      </x:c>
    </x:row>
    <x:row r="24" ht="19" customHeight="1">
      <x:c r="A24" t="str">
        <x:v>Pooling + Onboarding</x:v>
      </x:c>
      <x:c r="B24" t="str">
        <x:v>Manikonda</x:v>
      </x:c>
      <x:c r="C24" t="n">
        <x:v>216</x:v>
      </x:c>
      <x:c r="D24" t="n">
        <x:v>204</x:v>
      </x:c>
      <x:c r="E24" t="n">
        <x:v>195</x:v>
      </x:c>
      <x:c r="F24" s="26" t="n">
        <x:v>90.28</x:v>
      </x:c>
      <x:c r="G24" s="26" t="n">
        <x:v>72.69</x:v>
      </x:c>
      <x:c r="H24" s="26" t="n">
        <x:v>80.51</x:v>
      </x:c>
      <x:c r="I24" s="26" t="n">
        <x:v>7.69</x:v>
      </x:c>
      <x:c r="J24" t="n">
        <x:v>4.41</x:v>
      </x:c>
    </x:row>
    <x:row r="25" ht="19" customHeight="1">
      <x:c r="A25" t="str">
        <x:v>Pooling + Onboarding</x:v>
      </x:c>
      <x:c r="B25" t="str">
        <x:v>Miyapur</x:v>
      </x:c>
      <x:c r="C25" t="n">
        <x:v>190</x:v>
      </x:c>
      <x:c r="D25" t="n">
        <x:v>183</x:v>
      </x:c>
      <x:c r="E25" t="n">
        <x:v>176</x:v>
      </x:c>
      <x:c r="F25" s="26" t="n">
        <x:v>92.63</x:v>
      </x:c>
      <x:c r="G25" s="26" t="n">
        <x:v>83.16</x:v>
      </x:c>
      <x:c r="H25" s="26" t="n">
        <x:v>89.77</x:v>
      </x:c>
      <x:c r="I25" s="26" t="n">
        <x:v>13.64</x:v>
      </x:c>
      <x:c r="J25" t="n">
        <x:v>3.83</x:v>
      </x:c>
    </x:row>
    <x:row r="26" ht="19" customHeight="1">
      <x:c r="A26" t="str">
        <x:v>Quality-Safe Playbook</x:v>
      </x:c>
      <x:c r="B26" t="str">
        <x:v>Banjara Hills</x:v>
      </x:c>
      <x:c r="C26" t="n">
        <x:v>232</x:v>
      </x:c>
      <x:c r="D26" t="n">
        <x:v>210</x:v>
      </x:c>
      <x:c r="E26" t="n">
        <x:v>208</x:v>
      </x:c>
      <x:c r="F26" s="26" t="n">
        <x:v>89.66</x:v>
      </x:c>
      <x:c r="G26" s="26" t="n">
        <x:v>78.02</x:v>
      </x:c>
      <x:c r="H26" s="26" t="n">
        <x:v>87.02</x:v>
      </x:c>
      <x:c r="I26" s="26" t="n">
        <x:v>10.58</x:v>
      </x:c>
      <x:c r="J26" t="n">
        <x:v>0.95</x:v>
      </x:c>
    </x:row>
    <x:row r="27" ht="19" customHeight="1">
      <x:c r="A27" t="str">
        <x:v>Quality-Safe Playbook</x:v>
      </x:c>
      <x:c r="B27" t="str">
        <x:v>Gachibowli</x:v>
      </x:c>
      <x:c r="C27" t="n">
        <x:v>277</x:v>
      </x:c>
      <x:c r="D27" t="n">
        <x:v>260</x:v>
      </x:c>
      <x:c r="E27" t="n">
        <x:v>250</x:v>
      </x:c>
      <x:c r="F27" s="26" t="n">
        <x:v>90.25</x:v>
      </x:c>
      <x:c r="G27" s="26" t="n">
        <x:v>77.98</x:v>
      </x:c>
      <x:c r="H27" s="26" t="n">
        <x:v>86.4</x:v>
      </x:c>
      <x:c r="I27" s="26" t="n">
        <x:v>8.4</x:v>
      </x:c>
      <x:c r="J27" t="n">
        <x:v>3.85</x:v>
      </x:c>
    </x:row>
    <x:row r="28" ht="19" customHeight="1">
      <x:c r="A28" t="str">
        <x:v>Quality-Safe Playbook</x:v>
      </x:c>
      <x:c r="B28" t="str">
        <x:v>HITEC City</x:v>
      </x:c>
      <x:c r="C28" t="n">
        <x:v>233</x:v>
      </x:c>
      <x:c r="D28" t="n">
        <x:v>222</x:v>
      </x:c>
      <x:c r="E28" t="n">
        <x:v>214</x:v>
      </x:c>
      <x:c r="F28" s="26" t="n">
        <x:v>91.85</x:v>
      </x:c>
      <x:c r="G28" s="26" t="n">
        <x:v>79.83</x:v>
      </x:c>
      <x:c r="H28" s="26" t="n">
        <x:v>86.92</x:v>
      </x:c>
      <x:c r="I28" s="26" t="n">
        <x:v>14.49</x:v>
      </x:c>
      <x:c r="J28" t="n">
        <x:v>3.6</x:v>
      </x:c>
    </x:row>
    <x:row r="29" ht="19" customHeight="1">
      <x:c r="A29" t="str">
        <x:v>Quality-Safe Playbook</x:v>
      </x:c>
      <x:c r="B29" t="str">
        <x:v>Kondapur</x:v>
      </x:c>
      <x:c r="C29" t="n">
        <x:v>262</x:v>
      </x:c>
      <x:c r="D29" t="n">
        <x:v>253</x:v>
      </x:c>
      <x:c r="E29" t="n">
        <x:v>245</x:v>
      </x:c>
      <x:c r="F29" s="26" t="n">
        <x:v>93.51</x:v>
      </x:c>
      <x:c r="G29" s="26" t="n">
        <x:v>83.59</x:v>
      </x:c>
      <x:c r="H29" s="26" t="n">
        <x:v>89.39</x:v>
      </x:c>
      <x:c r="I29" s="26" t="n">
        <x:v>8.57</x:v>
      </x:c>
      <x:c r="J29" t="n">
        <x:v>3.16</x:v>
      </x:c>
    </x:row>
    <x:row r="30" ht="19" customHeight="1">
      <x:c r="A30" t="str">
        <x:v>Quality-Safe Playbook</x:v>
      </x:c>
      <x:c r="B30" t="str">
        <x:v>Kukatpally</x:v>
      </x:c>
      <x:c r="C30" t="n">
        <x:v>240</x:v>
      </x:c>
      <x:c r="D30" t="n">
        <x:v>221</x:v>
      </x:c>
      <x:c r="E30" t="n">
        <x:v>211</x:v>
      </x:c>
      <x:c r="F30" s="26" t="n">
        <x:v>87.92</x:v>
      </x:c>
      <x:c r="G30" s="26" t="n">
        <x:v>78.75</x:v>
      </x:c>
      <x:c r="H30" s="26" t="n">
        <x:v>89.57</x:v>
      </x:c>
      <x:c r="I30" s="26" t="n">
        <x:v>9.95</x:v>
      </x:c>
      <x:c r="J30" t="n">
        <x:v>4.52</x:v>
      </x:c>
    </x:row>
    <x:row r="31" ht="19" customHeight="1">
      <x:c r="A31" t="str">
        <x:v>Quality-Safe Playbook</x:v>
      </x:c>
      <x:c r="B31" t="str">
        <x:v>Madhapur</x:v>
      </x:c>
      <x:c r="C31" t="n">
        <x:v>275</x:v>
      </x:c>
      <x:c r="D31" t="n">
        <x:v>268</x:v>
      </x:c>
      <x:c r="E31" t="n">
        <x:v>261</x:v>
      </x:c>
      <x:c r="F31" s="26" t="n">
        <x:v>94.91</x:v>
      </x:c>
      <x:c r="G31" s="26" t="n">
        <x:v>74.55</x:v>
      </x:c>
      <x:c r="H31" s="26" t="n">
        <x:v>78.54</x:v>
      </x:c>
      <x:c r="I31" s="26" t="n">
        <x:v>10.73</x:v>
      </x:c>
      <x:c r="J31" t="n">
        <x:v>2.61</x:v>
      </x:c>
    </x:row>
    <x:row r="32" ht="19" customHeight="1">
      <x:c r="A32" t="str">
        <x:v>Quality-Safe Playbook</x:v>
      </x:c>
      <x:c r="B32" t="str">
        <x:v>Manikonda</x:v>
      </x:c>
      <x:c r="C32" t="n">
        <x:v>216</x:v>
      </x:c>
      <x:c r="D32" t="n">
        <x:v>204</x:v>
      </x:c>
      <x:c r="E32" t="n">
        <x:v>197</x:v>
      </x:c>
      <x:c r="F32" s="26" t="n">
        <x:v>91.2</x:v>
      </x:c>
      <x:c r="G32" s="26" t="n">
        <x:v>73.61</x:v>
      </x:c>
      <x:c r="H32" s="26" t="n">
        <x:v>80.71</x:v>
      </x:c>
      <x:c r="I32" s="26" t="n">
        <x:v>7.61</x:v>
      </x:c>
      <x:c r="J32" t="n">
        <x:v>3.43</x:v>
      </x:c>
    </x:row>
    <x:row r="33" ht="19" customHeight="1">
      <x:c r="A33" t="str">
        <x:v>Quality-Safe Playbook</x:v>
      </x:c>
      <x:c r="B33" t="str">
        <x:v>Miyapur</x:v>
      </x:c>
      <x:c r="C33" t="n">
        <x:v>190</x:v>
      </x:c>
      <x:c r="D33" t="n">
        <x:v>183</x:v>
      </x:c>
      <x:c r="E33" t="n">
        <x:v>176</x:v>
      </x:c>
      <x:c r="F33" s="26" t="n">
        <x:v>92.63</x:v>
      </x:c>
      <x:c r="G33" s="26" t="n">
        <x:v>83.16</x:v>
      </x:c>
      <x:c r="H33" s="26" t="n">
        <x:v>89.77</x:v>
      </x:c>
      <x:c r="I33" s="26" t="n">
        <x:v>13.07</x:v>
      </x:c>
      <x:c r="J33" t="n">
        <x:v>3.83</x:v>
      </x:c>
    </x:row>
    <x:row r="34" ht="19" customHeight="1">
      <x:c r="A34" t="str">
        <x:v>Peak-Shift Experiment</x:v>
      </x:c>
      <x:c r="B34" t="str">
        <x:v>Banjara Hills</x:v>
      </x:c>
      <x:c r="C34" t="n">
        <x:v>232</x:v>
      </x:c>
      <x:c r="D34" t="n">
        <x:v>205</x:v>
      </x:c>
      <x:c r="E34" t="n">
        <x:v>202</x:v>
      </x:c>
      <x:c r="F34" s="26" t="n">
        <x:v>87.07</x:v>
      </x:c>
      <x:c r="G34" s="26" t="n">
        <x:v>76.72</x:v>
      </x:c>
      <x:c r="H34" s="26" t="n">
        <x:v>88.12</x:v>
      </x:c>
      <x:c r="I34" s="26" t="n">
        <x:v>9.9</x:v>
      </x:c>
      <x:c r="J34" t="n">
        <x:v>1.46</x:v>
      </x:c>
    </x:row>
    <x:row r="35" ht="19" customHeight="1">
      <x:c r="A35" t="str">
        <x:v>Peak-Shift Experiment</x:v>
      </x:c>
      <x:c r="B35" t="str">
        <x:v>Gachibowli</x:v>
      </x:c>
      <x:c r="C35" t="n">
        <x:v>277</x:v>
      </x:c>
      <x:c r="D35" t="n">
        <x:v>260</x:v>
      </x:c>
      <x:c r="E35" t="n">
        <x:v>250</x:v>
      </x:c>
      <x:c r="F35" s="26" t="n">
        <x:v>90.25</x:v>
      </x:c>
      <x:c r="G35" s="26" t="n">
        <x:v>74.73</x:v>
      </x:c>
      <x:c r="H35" s="26" t="n">
        <x:v>82.8</x:v>
      </x:c>
      <x:c r="I35" s="26" t="n">
        <x:v>9.6</x:v>
      </x:c>
      <x:c r="J35" t="n">
        <x:v>3.85</x:v>
      </x:c>
    </x:row>
    <x:row r="36" ht="19" customHeight="1">
      <x:c r="A36" t="str">
        <x:v>Peak-Shift Experiment</x:v>
      </x:c>
      <x:c r="B36" t="str">
        <x:v>HITEC City</x:v>
      </x:c>
      <x:c r="C36" t="n">
        <x:v>233</x:v>
      </x:c>
      <x:c r="D36" t="n">
        <x:v>226</x:v>
      </x:c>
      <x:c r="E36" t="n">
        <x:v>219</x:v>
      </x:c>
      <x:c r="F36" s="26" t="n">
        <x:v>93.99</x:v>
      </x:c>
      <x:c r="G36" s="26" t="n">
        <x:v>78.54</x:v>
      </x:c>
      <x:c r="H36" s="26" t="n">
        <x:v>83.56</x:v>
      </x:c>
      <x:c r="I36" s="26" t="n">
        <x:v>10.96</x:v>
      </x:c>
      <x:c r="J36" t="n">
        <x:v>3.1</x:v>
      </x:c>
    </x:row>
    <x:row r="37" ht="19" customHeight="1">
      <x:c r="A37" t="str">
        <x:v>Peak-Shift Experiment</x:v>
      </x:c>
      <x:c r="B37" t="str">
        <x:v>Kondapur</x:v>
      </x:c>
      <x:c r="C37" t="n">
        <x:v>262</x:v>
      </x:c>
      <x:c r="D37" t="n">
        <x:v>257</x:v>
      </x:c>
      <x:c r="E37" t="n">
        <x:v>248</x:v>
      </x:c>
      <x:c r="F37" s="26" t="n">
        <x:v>94.66</x:v>
      </x:c>
      <x:c r="G37" s="26" t="n">
        <x:v>85.5</x:v>
      </x:c>
      <x:c r="H37" s="26" t="n">
        <x:v>90.32</x:v>
      </x:c>
      <x:c r="I37" s="26" t="n">
        <x:v>9.27</x:v>
      </x:c>
      <x:c r="J37" t="n">
        <x:v>3.5</x:v>
      </x:c>
    </x:row>
    <x:row r="38" ht="19" customHeight="1">
      <x:c r="A38" t="str">
        <x:v>Peak-Shift Experiment</x:v>
      </x:c>
      <x:c r="B38" t="str">
        <x:v>Kukatpally</x:v>
      </x:c>
      <x:c r="C38" t="n">
        <x:v>240</x:v>
      </x:c>
      <x:c r="D38" t="n">
        <x:v>216</x:v>
      </x:c>
      <x:c r="E38" t="n">
        <x:v>208</x:v>
      </x:c>
      <x:c r="F38" s="26" t="n">
        <x:v>86.67</x:v>
      </x:c>
      <x:c r="G38" s="26" t="n">
        <x:v>75.42</x:v>
      </x:c>
      <x:c r="H38" s="26" t="n">
        <x:v>87.02</x:v>
      </x:c>
      <x:c r="I38" s="26" t="n">
        <x:v>10.58</x:v>
      </x:c>
      <x:c r="J38" t="n">
        <x:v>3.7</x:v>
      </x:c>
    </x:row>
    <x:row r="39" ht="19" customHeight="1">
      <x:c r="A39" t="str">
        <x:v>Peak-Shift Experiment</x:v>
      </x:c>
      <x:c r="B39" t="str">
        <x:v>Madhapur</x:v>
      </x:c>
      <x:c r="C39" t="n">
        <x:v>275</x:v>
      </x:c>
      <x:c r="D39" t="n">
        <x:v>265</x:v>
      </x:c>
      <x:c r="E39" t="n">
        <x:v>258</x:v>
      </x:c>
      <x:c r="F39" s="26" t="n">
        <x:v>93.82</x:v>
      </x:c>
      <x:c r="G39" s="26" t="n">
        <x:v>72.36</x:v>
      </x:c>
      <x:c r="H39" s="26" t="n">
        <x:v>77.13</x:v>
      </x:c>
      <x:c r="I39" s="26" t="n">
        <x:v>11.63</x:v>
      </x:c>
      <x:c r="J39" t="n">
        <x:v>2.64</x:v>
      </x:c>
    </x:row>
    <x:row r="40" ht="19" customHeight="1">
      <x:c r="A40" t="str">
        <x:v>Peak-Shift Experiment</x:v>
      </x:c>
      <x:c r="B40" t="str">
        <x:v>Manikonda</x:v>
      </x:c>
      <x:c r="C40" t="n">
        <x:v>216</x:v>
      </x:c>
      <x:c r="D40" t="n">
        <x:v>204</x:v>
      </x:c>
      <x:c r="E40" t="n">
        <x:v>197</x:v>
      </x:c>
      <x:c r="F40" s="26" t="n">
        <x:v>91.2</x:v>
      </x:c>
      <x:c r="G40" s="26" t="n">
        <x:v>70.83</x:v>
      </x:c>
      <x:c r="H40" s="26" t="n">
        <x:v>77.66</x:v>
      </x:c>
      <x:c r="I40" s="26" t="n">
        <x:v>9.14</x:v>
      </x:c>
      <x:c r="J40" t="n">
        <x:v>3.43</x:v>
      </x:c>
    </x:row>
    <x:row r="41" ht="19" customHeight="1">
      <x:c r="A41" t="str">
        <x:v>Peak-Shift Experiment</x:v>
      </x:c>
      <x:c r="B41" t="str">
        <x:v>Miyapur</x:v>
      </x:c>
      <x:c r="C41" t="n">
        <x:v>190</x:v>
      </x:c>
      <x:c r="D41" t="n">
        <x:v>182</x:v>
      </x:c>
      <x:c r="E41" t="n">
        <x:v>175</x:v>
      </x:c>
      <x:c r="F41" s="26" t="n">
        <x:v>92.11</x:v>
      </x:c>
      <x:c r="G41" s="26" t="n">
        <x:v>78.42</x:v>
      </x:c>
      <x:c r="H41" s="26" t="n">
        <x:v>85.14</x:v>
      </x:c>
      <x:c r="I41" s="26" t="n">
        <x:v>8.57</x:v>
      </x:c>
      <x:c r="J41" t="n">
        <x:v>3.85</x:v>
      </x:c>
    </x:row>
  </x:sheetData>
  <x:conditionalFormatting sqref="F2:F41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1" customHeight="1">
      <x:c r="A1" s="5" t="str">
        <x:v>Scenario</x:v>
      </x:c>
      <x:c r="B1" s="5" t="str">
        <x:v>Category</x:v>
      </x:c>
      <x:c r="C1" s="5" t="str">
        <x:v>Requests</x:v>
      </x:c>
      <x:c r="D1" s="5" t="str">
        <x:v>Assigned</x:v>
      </x:c>
      <x:c r="E1" s="5" t="str">
        <x:v>Completed</x:v>
      </x:c>
      <x:c r="F1" s="5" t="str">
        <x:v>Fill Rate (%)</x:v>
      </x:c>
      <x:c r="G1" s="5" t="str">
        <x:v>On-Time Fulfillment (%)</x:v>
      </x:c>
      <x:c r="H1" s="5" t="str">
        <x:v>On-Time/Completed (%)</x:v>
      </x:c>
      <x:c r="I1" s="5" t="str">
        <x:v>Complaints (%)</x:v>
      </x:c>
      <x:c r="J1" s="5" t="str">
        <x:v>Cancellations (%)</x:v>
      </x:c>
    </x:row>
    <x:row r="2" ht="19" customHeight="1">
      <x:c r="A2" t="str">
        <x:v>Baseline</x:v>
      </x:c>
      <x:c r="B2" t="str">
        <x:v>AC Repair</x:v>
      </x:c>
      <x:c r="C2" t="n">
        <x:v>630</x:v>
      </x:c>
      <x:c r="D2" t="n">
        <x:v>458</x:v>
      </x:c>
      <x:c r="E2" t="n">
        <x:v>441</x:v>
      </x:c>
      <x:c r="F2" s="26" t="n">
        <x:v>70</x:v>
      </x:c>
      <x:c r="G2" s="26" t="n">
        <x:v>70</x:v>
      </x:c>
      <x:c r="H2" s="26" t="n">
        <x:v>100</x:v>
      </x:c>
      <x:c r="I2" s="26" t="n">
        <x:v>11.34</x:v>
      </x:c>
      <x:c r="J2" t="n">
        <x:v>3.71</x:v>
      </x:c>
    </x:row>
    <x:row r="3" ht="19" customHeight="1">
      <x:c r="A3" t="str">
        <x:v>Baseline</x:v>
      </x:c>
      <x:c r="B3" t="str">
        <x:v>Bathroom Cleaning</x:v>
      </x:c>
      <x:c r="C3" t="n">
        <x:v>639</x:v>
      </x:c>
      <x:c r="D3" t="n">
        <x:v>461</x:v>
      </x:c>
      <x:c r="E3" t="n">
        <x:v>439</x:v>
      </x:c>
      <x:c r="F3" s="26" t="n">
        <x:v>68.7</x:v>
      </x:c>
      <x:c r="G3" s="26" t="n">
        <x:v>68.7</x:v>
      </x:c>
      <x:c r="H3" s="26" t="n">
        <x:v>100</x:v>
      </x:c>
      <x:c r="I3" s="26" t="n">
        <x:v>12.07</x:v>
      </x:c>
      <x:c r="J3" t="n">
        <x:v>4.77</x:v>
      </x:c>
    </x:row>
    <x:row r="4" ht="19" customHeight="1">
      <x:c r="A4" t="str">
        <x:v>Baseline</x:v>
      </x:c>
      <x:c r="B4" t="str">
        <x:v>Electrician</x:v>
      </x:c>
      <x:c r="C4" t="n">
        <x:v>656</x:v>
      </x:c>
      <x:c r="D4" t="n">
        <x:v>481</x:v>
      </x:c>
      <x:c r="E4" t="n">
        <x:v>470</x:v>
      </x:c>
      <x:c r="F4" s="26" t="n">
        <x:v>71.65</x:v>
      </x:c>
      <x:c r="G4" s="26" t="n">
        <x:v>71.65</x:v>
      </x:c>
      <x:c r="H4" s="26" t="n">
        <x:v>100</x:v>
      </x:c>
      <x:c r="I4" s="26" t="n">
        <x:v>9.57</x:v>
      </x:c>
      <x:c r="J4" t="n">
        <x:v>2.29</x:v>
      </x:c>
    </x:row>
    <x:row r="5" ht="19" customHeight="1">
      <x:c r="A5" t="str">
        <x:v>Zone Pooling</x:v>
      </x:c>
      <x:c r="B5" t="str">
        <x:v>AC Repair</x:v>
      </x:c>
      <x:c r="C5" t="n">
        <x:v>630</x:v>
      </x:c>
      <x:c r="D5" t="n">
        <x:v>578</x:v>
      </x:c>
      <x:c r="E5" t="n">
        <x:v>557</x:v>
      </x:c>
      <x:c r="F5" s="26" t="n">
        <x:v>88.41</x:v>
      </x:c>
      <x:c r="G5" s="26" t="n">
        <x:v>74.6</x:v>
      </x:c>
      <x:c r="H5" s="26" t="n">
        <x:v>84.38</x:v>
      </x:c>
      <x:c r="I5" s="26" t="n">
        <x:v>11.85</x:v>
      </x:c>
      <x:c r="J5" t="n">
        <x:v>3.63</x:v>
      </x:c>
    </x:row>
    <x:row r="6" ht="19" customHeight="1">
      <x:c r="A6" t="str">
        <x:v>Zone Pooling</x:v>
      </x:c>
      <x:c r="B6" t="str">
        <x:v>Bathroom Cleaning</x:v>
      </x:c>
      <x:c r="C6" t="n">
        <x:v>639</x:v>
      </x:c>
      <x:c r="D6" t="n">
        <x:v>593</x:v>
      </x:c>
      <x:c r="E6" t="n">
        <x:v>563</x:v>
      </x:c>
      <x:c r="F6" s="26" t="n">
        <x:v>88.11</x:v>
      </x:c>
      <x:c r="G6" s="26" t="n">
        <x:v>73.55</x:v>
      </x:c>
      <x:c r="H6" s="26" t="n">
        <x:v>83.48</x:v>
      </x:c>
      <x:c r="I6" s="26" t="n">
        <x:v>12.43</x:v>
      </x:c>
      <x:c r="J6" t="n">
        <x:v>5.06</x:v>
      </x:c>
    </x:row>
    <x:row r="7" ht="19" customHeight="1">
      <x:c r="A7" t="str">
        <x:v>Zone Pooling</x:v>
      </x:c>
      <x:c r="B7" t="str">
        <x:v>Electrician</x:v>
      </x:c>
      <x:c r="C7" t="n">
        <x:v>656</x:v>
      </x:c>
      <x:c r="D7" t="n">
        <x:v>603</x:v>
      </x:c>
      <x:c r="E7" t="n">
        <x:v>586</x:v>
      </x:c>
      <x:c r="F7" s="26" t="n">
        <x:v>89.33</x:v>
      </x:c>
      <x:c r="G7" s="26" t="n">
        <x:v>76.07</x:v>
      </x:c>
      <x:c r="H7" s="26" t="n">
        <x:v>85.15</x:v>
      </x:c>
      <x:c r="I7" s="26" t="n">
        <x:v>11.95</x:v>
      </x:c>
      <x:c r="J7" t="n">
        <x:v>2.82</x:v>
      </x:c>
    </x:row>
    <x:row r="8" ht="19" customHeight="1">
      <x:c r="A8" t="str">
        <x:v>Pooling + Onboarding</x:v>
      </x:c>
      <x:c r="B8" t="str">
        <x:v>AC Repair</x:v>
      </x:c>
      <x:c r="C8" t="n">
        <x:v>630</x:v>
      </x:c>
      <x:c r="D8" t="n">
        <x:v>589</x:v>
      </x:c>
      <x:c r="E8" t="n">
        <x:v>566</x:v>
      </x:c>
      <x:c r="F8" s="26" t="n">
        <x:v>89.84</x:v>
      </x:c>
      <x:c r="G8" s="26" t="n">
        <x:v>74.76</x:v>
      </x:c>
      <x:c r="H8" s="26" t="n">
        <x:v>83.22</x:v>
      </x:c>
      <x:c r="I8" s="26" t="n">
        <x:v>11.84</x:v>
      </x:c>
      <x:c r="J8" t="n">
        <x:v>3.9</x:v>
      </x:c>
    </x:row>
    <x:row r="9" ht="19" customHeight="1">
      <x:c r="A9" t="str">
        <x:v>Pooling + Onboarding</x:v>
      </x:c>
      <x:c r="B9" t="str">
        <x:v>Bathroom Cleaning</x:v>
      </x:c>
      <x:c r="C9" t="n">
        <x:v>639</x:v>
      </x:c>
      <x:c r="D9" t="n">
        <x:v>612</x:v>
      </x:c>
      <x:c r="E9" t="n">
        <x:v>583</x:v>
      </x:c>
      <x:c r="F9" s="26" t="n">
        <x:v>91.24</x:v>
      </x:c>
      <x:c r="G9" s="26" t="n">
        <x:v>78.87</x:v>
      </x:c>
      <x:c r="H9" s="26" t="n">
        <x:v>86.45</x:v>
      </x:c>
      <x:c r="I9" s="26" t="n">
        <x:v>12.69</x:v>
      </x:c>
      <x:c r="J9" t="n">
        <x:v>4.74</x:v>
      </x:c>
    </x:row>
    <x:row r="10" ht="19" customHeight="1">
      <x:c r="A10" t="str">
        <x:v>Pooling + Onboarding</x:v>
      </x:c>
      <x:c r="B10" t="str">
        <x:v>Electrician</x:v>
      </x:c>
      <x:c r="C10" t="n">
        <x:v>656</x:v>
      </x:c>
      <x:c r="D10" t="n">
        <x:v>620</x:v>
      </x:c>
      <x:c r="E10" t="n">
        <x:v>601</x:v>
      </x:c>
      <x:c r="F10" s="26" t="n">
        <x:v>91.62</x:v>
      </x:c>
      <x:c r="G10" s="26" t="n">
        <x:v>80.49</x:v>
      </x:c>
      <x:c r="H10" s="26" t="n">
        <x:v>87.85</x:v>
      </x:c>
      <x:c r="I10" s="26" t="n">
        <x:v>11.65</x:v>
      </x:c>
      <x:c r="J10" t="n">
        <x:v>3.06</x:v>
      </x:c>
    </x:row>
    <x:row r="11" ht="19" customHeight="1">
      <x:c r="A11" t="str">
        <x:v>Quality-Safe Playbook</x:v>
      </x:c>
      <x:c r="B11" t="str">
        <x:v>AC Repair</x:v>
      </x:c>
      <x:c r="C11" t="n">
        <x:v>630</x:v>
      </x:c>
      <x:c r="D11" t="n">
        <x:v>589</x:v>
      </x:c>
      <x:c r="E11" t="n">
        <x:v>570</x:v>
      </x:c>
      <x:c r="F11" s="26" t="n">
        <x:v>90.48</x:v>
      </x:c>
      <x:c r="G11" s="26" t="n">
        <x:v>75.4</x:v>
      </x:c>
      <x:c r="H11" s="26" t="n">
        <x:v>83.33</x:v>
      </x:c>
      <x:c r="I11" s="26" t="n">
        <x:v>10</x:v>
      </x:c>
      <x:c r="J11" t="n">
        <x:v>3.23</x:v>
      </x:c>
    </x:row>
    <x:row r="12" ht="19" customHeight="1">
      <x:c r="A12" t="str">
        <x:v>Quality-Safe Playbook</x:v>
      </x:c>
      <x:c r="B12" t="str">
        <x:v>Bathroom Cleaning</x:v>
      </x:c>
      <x:c r="C12" t="n">
        <x:v>639</x:v>
      </x:c>
      <x:c r="D12" t="n">
        <x:v>612</x:v>
      </x:c>
      <x:c r="E12" t="n">
        <x:v>589</x:v>
      </x:c>
      <x:c r="F12" s="26" t="n">
        <x:v>92.18</x:v>
      </x:c>
      <x:c r="G12" s="26" t="n">
        <x:v>79.5</x:v>
      </x:c>
      <x:c r="H12" s="26" t="n">
        <x:v>86.25</x:v>
      </x:c>
      <x:c r="I12" s="26" t="n">
        <x:v>11.71</x:v>
      </x:c>
      <x:c r="J12" t="n">
        <x:v>3.76</x:v>
      </x:c>
    </x:row>
    <x:row r="13" ht="19" customHeight="1">
      <x:c r="A13" t="str">
        <x:v>Quality-Safe Playbook</x:v>
      </x:c>
      <x:c r="B13" t="str">
        <x:v>Electrician</x:v>
      </x:c>
      <x:c r="C13" t="n">
        <x:v>656</x:v>
      </x:c>
      <x:c r="D13" t="n">
        <x:v>620</x:v>
      </x:c>
      <x:c r="E13" t="n">
        <x:v>603</x:v>
      </x:c>
      <x:c r="F13" s="26" t="n">
        <x:v>91.92</x:v>
      </x:c>
      <x:c r="G13" s="26" t="n">
        <x:v>80.79</x:v>
      </x:c>
      <x:c r="H13" s="26" t="n">
        <x:v>87.89</x:v>
      </x:c>
      <x:c r="I13" s="26" t="n">
        <x:v>9.29</x:v>
      </x:c>
      <x:c r="J13" t="n">
        <x:v>2.74</x:v>
      </x:c>
    </x:row>
    <x:row r="14" ht="19" customHeight="1">
      <x:c r="A14" t="str">
        <x:v>Peak-Shift Experiment</x:v>
      </x:c>
      <x:c r="B14" t="str">
        <x:v>AC Repair</x:v>
      </x:c>
      <x:c r="C14" t="n">
        <x:v>630</x:v>
      </x:c>
      <x:c r="D14" t="n">
        <x:v>582</x:v>
      </x:c>
      <x:c r="E14" t="n">
        <x:v>563</x:v>
      </x:c>
      <x:c r="F14" s="26" t="n">
        <x:v>89.37</x:v>
      </x:c>
      <x:c r="G14" s="26" t="n">
        <x:v>72.86</x:v>
      </x:c>
      <x:c r="H14" s="26" t="n">
        <x:v>81.53</x:v>
      </x:c>
      <x:c r="I14" s="26" t="n">
        <x:v>10.48</x:v>
      </x:c>
      <x:c r="J14" t="n">
        <x:v>3.26</x:v>
      </x:c>
    </x:row>
    <x:row r="15" ht="19" customHeight="1">
      <x:c r="A15" t="str">
        <x:v>Peak-Shift Experiment</x:v>
      </x:c>
      <x:c r="B15" t="str">
        <x:v>Bathroom Cleaning</x:v>
      </x:c>
      <x:c r="C15" t="n">
        <x:v>639</x:v>
      </x:c>
      <x:c r="D15" t="n">
        <x:v>613</x:v>
      </x:c>
      <x:c r="E15" t="n">
        <x:v>590</x:v>
      </x:c>
      <x:c r="F15" s="26" t="n">
        <x:v>92.33</x:v>
      </x:c>
      <x:c r="G15" s="26" t="n">
        <x:v>77.78</x:v>
      </x:c>
      <x:c r="H15" s="26" t="n">
        <x:v>84.24</x:v>
      </x:c>
      <x:c r="I15" s="26" t="n">
        <x:v>10.68</x:v>
      </x:c>
      <x:c r="J15" t="n">
        <x:v>3.75</x:v>
      </x:c>
    </x:row>
    <x:row r="16" ht="19" customHeight="1">
      <x:c r="A16" t="str">
        <x:v>Peak-Shift Experiment</x:v>
      </x:c>
      <x:c r="B16" t="str">
        <x:v>Electrician</x:v>
      </x:c>
      <x:c r="C16" t="n">
        <x:v>656</x:v>
      </x:c>
      <x:c r="D16" t="n">
        <x:v>620</x:v>
      </x:c>
      <x:c r="E16" t="n">
        <x:v>604</x:v>
      </x:c>
      <x:c r="F16" s="26" t="n">
        <x:v>92.07</x:v>
      </x:c>
      <x:c r="G16" s="26" t="n">
        <x:v>78.96</x:v>
      </x:c>
      <x:c r="H16" s="26" t="n">
        <x:v>85.76</x:v>
      </x:c>
      <x:c r="I16" s="26" t="n">
        <x:v>8.94</x:v>
      </x:c>
      <x:c r="J16" t="n">
        <x:v>2.58</x:v>
      </x:c>
    </x:row>
  </x:sheetData>
  <x:conditionalFormatting sqref="F2:F16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31" customHeight="1">
      <x:c r="A1" s="5" t="str">
        <x:v>Candidate ID</x:v>
      </x:c>
      <x:c r="B1" s="5" t="str">
        <x:v>Category</x:v>
      </x:c>
      <x:c r="C1" s="5" t="str">
        <x:v>Zone</x:v>
      </x:c>
      <x:c r="D1" s="5" t="str">
        <x:v>Screen Score</x:v>
      </x:c>
      <x:c r="E1" s="5" t="str">
        <x:v>ID Verified</x:v>
      </x:c>
      <x:c r="F1" s="5" t="str">
        <x:v>Training Passed</x:v>
      </x:c>
      <x:c r="G1" s="5" t="str">
        <x:v>Activation Day</x:v>
      </x:c>
      <x:c r="H1" s="5" t="str">
        <x:v>Forecast Demand / Supply</x:v>
      </x:c>
      <x:c r="I1" s="5" t="str">
        <x:v>Next Step</x:v>
      </x:c>
    </x:row>
    <x:row r="2">
      <x:c r="A2" t="str">
        <x:v>C013</x:v>
      </x:c>
      <x:c r="B2" t="str">
        <x:v>Bathroom Cleaning</x:v>
      </x:c>
      <x:c r="C2" t="str">
        <x:v>Manikonda</x:v>
      </x:c>
      <x:c r="D2" t="n">
        <x:v>96</x:v>
      </x:c>
      <x:c r="E2" t="n">
        <x:v>1</x:v>
      </x:c>
      <x:c r="F2" t="n">
        <x:v>1</x:v>
      </x:c>
      <x:c r="G2" t="n">
        <x:v>13</x:v>
      </x:c>
      <x:c r="H2" s="10" t="n">
        <x:v>0.901</x:v>
      </x:c>
      <x:c r="I2" t="str">
        <x:v>Activate after final verification</x:v>
      </x:c>
    </x:row>
    <x:row r="3">
      <x:c r="A3" t="str">
        <x:v>C005</x:v>
      </x:c>
      <x:c r="B3" t="str">
        <x:v>Bathroom Cleaning</x:v>
      </x:c>
      <x:c r="C3" t="str">
        <x:v>Kukatpally</x:v>
      </x:c>
      <x:c r="D3" t="n">
        <x:v>91</x:v>
      </x:c>
      <x:c r="E3" t="n">
        <x:v>1</x:v>
      </x:c>
      <x:c r="F3" t="n">
        <x:v>1</x:v>
      </x:c>
      <x:c r="G3" t="n">
        <x:v>13</x:v>
      </x:c>
      <x:c r="H3" s="10" t="n">
        <x:v>0.832</x:v>
      </x:c>
      <x:c r="I3" t="str">
        <x:v>Activate after final verification</x:v>
      </x:c>
    </x:row>
    <x:row r="4">
      <x:c r="A4" t="str">
        <x:v>C009</x:v>
      </x:c>
      <x:c r="B4" t="str">
        <x:v>AC Repair</x:v>
      </x:c>
      <x:c r="C4" t="str">
        <x:v>Kondapur</x:v>
      </x:c>
      <x:c r="D4" t="n">
        <x:v>77</x:v>
      </x:c>
      <x:c r="E4" t="n">
        <x:v>1</x:v>
      </x:c>
      <x:c r="F4" t="n">
        <x:v>1</x:v>
      </x:c>
      <x:c r="G4" t="n">
        <x:v>13</x:v>
      </x:c>
      <x:c r="H4" s="10" t="n">
        <x:v>0.832</x:v>
      </x:c>
      <x:c r="I4" t="str">
        <x:v>Activate after final verification</x:v>
      </x:c>
    </x:row>
    <x:row r="5">
      <x:c r="A5" t="str">
        <x:v>C011</x:v>
      </x:c>
      <x:c r="B5" t="str">
        <x:v>Electrician</x:v>
      </x:c>
      <x:c r="C5" t="str">
        <x:v>Gachibowli</x:v>
      </x:c>
      <x:c r="D5" t="n">
        <x:v>78</x:v>
      </x:c>
      <x:c r="E5" t="n">
        <x:v>1</x:v>
      </x:c>
      <x:c r="F5" t="n">
        <x:v>1</x:v>
      </x:c>
      <x:c r="G5" t="n">
        <x:v>15</x:v>
      </x:c>
      <x:c r="H5" s="10" t="n">
        <x:v>0.827</x:v>
      </x:c>
      <x:c r="I5" t="str">
        <x:v>Activate after final verification</x:v>
      </x:c>
    </x:row>
    <x:row r="6">
      <x:c r="A6" t="str">
        <x:v>C014</x:v>
      </x:c>
      <x:c r="B6" t="str">
        <x:v>Electrician</x:v>
      </x:c>
      <x:c r="C6" t="str">
        <x:v>Kondapur</x:v>
      </x:c>
      <x:c r="D6" t="n">
        <x:v>80</x:v>
      </x:c>
      <x:c r="E6" t="n">
        <x:v>1</x:v>
      </x:c>
      <x:c r="F6" t="n">
        <x:v>1</x:v>
      </x:c>
      <x:c r="G6" t="n">
        <x:v>14</x:v>
      </x:c>
      <x:c r="H6" s="10" t="n">
        <x:v>0.812</x:v>
      </x:c>
      <x:c r="I6" t="str">
        <x:v>Activate after final verification</x:v>
      </x:c>
    </x:row>
    <x:row r="7">
      <x:c r="A7" t="str">
        <x:v>C029</x:v>
      </x:c>
      <x:c r="B7" t="str">
        <x:v>Bathroom Cleaning</x:v>
      </x:c>
      <x:c r="C7" t="str">
        <x:v>Kondapur</x:v>
      </x:c>
      <x:c r="D7" t="n">
        <x:v>84</x:v>
      </x:c>
      <x:c r="E7" t="n">
        <x:v>1</x:v>
      </x:c>
      <x:c r="F7" t="n">
        <x:v>1</x:v>
      </x:c>
      <x:c r="G7" t="n">
        <x:v>13</x:v>
      </x:c>
      <x:c r="H7" s="10" t="n">
        <x:v>0.788</x:v>
      </x:c>
      <x:c r="I7" t="str">
        <x:v>Activate after final verification</x:v>
      </x:c>
    </x:row>
    <x:row r="8">
      <x:c r="A8" t="str">
        <x:v>C021</x:v>
      </x:c>
      <x:c r="B8" t="str">
        <x:v>Bathroom Cleaning</x:v>
      </x:c>
      <x:c r="C8" t="str">
        <x:v>Gachibowli</x:v>
      </x:c>
      <x:c r="D8" t="n">
        <x:v>94</x:v>
      </x:c>
      <x:c r="E8" t="n">
        <x:v>1</x:v>
      </x:c>
      <x:c r="F8" t="n">
        <x:v>1</x:v>
      </x:c>
      <x:c r="G8" t="n">
        <x:v>13</x:v>
      </x:c>
      <x:c r="H8" s="10" t="n">
        <x:v>0.741</x:v>
      </x:c>
      <x:c r="I8" t="str">
        <x:v>Activate after final verification</x:v>
      </x:c>
    </x:row>
    <x:row r="9">
      <x:c r="A9" t="str">
        <x:v>C010</x:v>
      </x:c>
      <x:c r="B9" t="str">
        <x:v>Bathroom Cleaning</x:v>
      </x:c>
      <x:c r="C9" t="str">
        <x:v>Kukatpally</x:v>
      </x:c>
      <x:c r="D9" t="n">
        <x:v>90</x:v>
      </x:c>
      <x:c r="E9" t="n">
        <x:v>1</x:v>
      </x:c>
      <x:c r="F9" t="n">
        <x:v>1</x:v>
      </x:c>
      <x:c r="G9" t="n">
        <x:v>14</x:v>
      </x:c>
      <x:c r="H9" s="10" t="n">
        <x:v>0.832</x:v>
      </x:c>
      <x:c r="I9" t="str">
        <x:v>Activate after final verification</x:v>
      </x:c>
    </x:row>
    <x:row r="10">
      <x:c r="A10" t="str">
        <x:v>C004</x:v>
      </x:c>
      <x:c r="B10" t="str">
        <x:v>AC Repair</x:v>
      </x:c>
      <x:c r="C10" t="str">
        <x:v>Kondapur</x:v>
      </x:c>
      <x:c r="D10" t="n">
        <x:v>76</x:v>
      </x:c>
      <x:c r="E10" t="n">
        <x:v>1</x:v>
      </x:c>
      <x:c r="F10" t="n">
        <x:v>1</x:v>
      </x:c>
      <x:c r="G10" t="n">
        <x:v>16</x:v>
      </x:c>
      <x:c r="H10" s="10" t="n">
        <x:v>0.832</x:v>
      </x:c>
      <x:c r="I10" t="str">
        <x:v>Activate after final verification</x:v>
      </x:c>
    </x:row>
    <x:row r="11">
      <x:c r="A11" t="str">
        <x:v>C037</x:v>
      </x:c>
      <x:c r="B11" t="str">
        <x:v>Bathroom Cleaning</x:v>
      </x:c>
      <x:c r="C11" t="str">
        <x:v>HITEC City</x:v>
      </x:c>
      <x:c r="D11" t="n">
        <x:v>94</x:v>
      </x:c>
      <x:c r="E11" t="n">
        <x:v>1</x:v>
      </x:c>
      <x:c r="F11" t="n">
        <x:v>1</x:v>
      </x:c>
      <x:c r="G11" t="n">
        <x:v>13</x:v>
      </x:c>
      <x:c r="H11" s="10" t="n">
        <x:v>0.663</x:v>
      </x:c>
      <x:c r="I11" t="str">
        <x:v>Activate after final verification</x:v>
      </x:c>
    </x:row>
    <x:row r="12">
      <x:c r="A12" t="str">
        <x:v>C022</x:v>
      </x:c>
      <x:c r="B12" t="str">
        <x:v>Electrician</x:v>
      </x:c>
      <x:c r="C12" t="str">
        <x:v>HITEC City</x:v>
      </x:c>
      <x:c r="D12" t="n">
        <x:v>82</x:v>
      </x:c>
      <x:c r="E12" t="n">
        <x:v>1</x:v>
      </x:c>
      <x:c r="F12" t="n">
        <x:v>1</x:v>
      </x:c>
      <x:c r="G12" t="n">
        <x:v>14</x:v>
      </x:c>
      <x:c r="H12" s="10" t="n">
        <x:v>0.654</x:v>
      </x:c>
      <x:c r="I12" t="str">
        <x:v>Activate after final verification</x:v>
      </x:c>
    </x:row>
    <x:row r="13">
      <x:c r="A13" t="str">
        <x:v>C038</x:v>
      </x:c>
      <x:c r="B13" t="str">
        <x:v>Electrician</x:v>
      </x:c>
      <x:c r="C13" t="str">
        <x:v>Manikonda</x:v>
      </x:c>
      <x:c r="D13" t="n">
        <x:v>93</x:v>
      </x:c>
      <x:c r="E13" t="n">
        <x:v>1</x:v>
      </x:c>
      <x:c r="F13" t="n">
        <x:v>1</x:v>
      </x:c>
      <x:c r="G13" t="n">
        <x:v>14</x:v>
      </x:c>
      <x:c r="H13" s="10" t="n">
        <x:v>0.651</x:v>
      </x:c>
      <x:c r="I13" t="str">
        <x:v>Activate after final verification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0" hidden="0" customWidth="1"/>
    <x:col min="9" max="9" width="32" hidden="0" customWidth="1"/>
    <x:col min="10" max="10" width="20" hidden="0" customWidth="1"/>
  </x:cols>
  <x:sheetData>
    <x:row r="1" ht="31" customHeight="1">
      <x:c r="A1" s="5" t="str">
        <x:v>Candidate ID</x:v>
      </x:c>
      <x:c r="B1" s="5" t="str">
        <x:v>Category</x:v>
      </x:c>
      <x:c r="C1" s="5" t="str">
        <x:v>Zone</x:v>
      </x:c>
      <x:c r="D1" s="5" t="str">
        <x:v>Score</x:v>
      </x:c>
      <x:c r="E1" s="5" t="str">
        <x:v>Verified</x:v>
      </x:c>
      <x:c r="F1" s="5" t="str">
        <x:v>Trained</x:v>
      </x:c>
      <x:c r="G1" s="5" t="str">
        <x:v>Screening Outcome</x:v>
      </x:c>
      <x:c r="I1" s="5" t="str">
        <x:v>Funnel Stage</x:v>
      </x:c>
      <x:c r="J1" s="5" t="str">
        <x:v>Count</x:v>
      </x:c>
    </x:row>
    <x:row r="2">
      <x:c r="A2" t="str">
        <x:v>C001</x:v>
      </x:c>
      <x:c r="B2" t="str">
        <x:v>AC Repair</x:v>
      </x:c>
      <x:c r="C2" t="str">
        <x:v>Gachibowli</x:v>
      </x:c>
      <x:c r="D2" t="n">
        <x:v>73</x:v>
      </x:c>
      <x:c r="E2" t="n">
        <x:v>1</x:v>
      </x:c>
      <x:c r="F2" t="n">
        <x:v>0</x:v>
      </x:c>
      <x:c r="G2" t="str">
        <x:v>Training required</x:v>
      </x:c>
      <x:c r="I2" t="str">
        <x:v>Applicants</x:v>
      </x:c>
      <x:c r="J2" t="n">
        <x:f>COUNTA(A2:A46)</x:f>
        <x:v>45</x:v>
      </x:c>
    </x:row>
    <x:row r="3">
      <x:c r="A3" t="str">
        <x:v>C002</x:v>
      </x:c>
      <x:c r="B3" t="str">
        <x:v>Bathroom Cleaning</x:v>
      </x:c>
      <x:c r="C3" t="str">
        <x:v>HITEC City</x:v>
      </x:c>
      <x:c r="D3" t="n">
        <x:v>86</x:v>
      </x:c>
      <x:c r="E3" t="n">
        <x:v>1</x:v>
      </x:c>
      <x:c r="F3" t="n">
        <x:v>1</x:v>
      </x:c>
      <x:c r="G3" t="str">
        <x:v>Ready</x:v>
      </x:c>
      <x:c r="I3" t="str">
        <x:v>Identity verified</x:v>
      </x:c>
      <x:c r="J3" t="n">
        <x:f>COUNTIF(E2:E46,1)</x:f>
        <x:v>38</x:v>
      </x:c>
    </x:row>
    <x:row r="4">
      <x:c r="A4" t="str">
        <x:v>C003</x:v>
      </x:c>
      <x:c r="B4" t="str">
        <x:v>Electrician</x:v>
      </x:c>
      <x:c r="C4" t="str">
        <x:v>Manikonda</x:v>
      </x:c>
      <x:c r="D4" t="n">
        <x:v>55</x:v>
      </x:c>
      <x:c r="E4" t="n">
        <x:v>1</x:v>
      </x:c>
      <x:c r="F4" t="n">
        <x:v>1</x:v>
      </x:c>
      <x:c r="G4" t="str">
        <x:v>Assessment below threshold</x:v>
      </x:c>
      <x:c r="I4" t="str">
        <x:v>Training passed</x:v>
      </x:c>
      <x:c r="J4" t="n">
        <x:f>COUNTIF(F2:F46,1)</x:f>
        <x:v>36</x:v>
      </x:c>
    </x:row>
    <x:row r="5">
      <x:c r="A5" t="str">
        <x:v>C004</x:v>
      </x:c>
      <x:c r="B5" t="str">
        <x:v>AC Repair</x:v>
      </x:c>
      <x:c r="C5" t="str">
        <x:v>Kondapur</x:v>
      </x:c>
      <x:c r="D5" t="n">
        <x:v>76</x:v>
      </x:c>
      <x:c r="E5" t="n">
        <x:v>1</x:v>
      </x:c>
      <x:c r="F5" t="n">
        <x:v>1</x:v>
      </x:c>
      <x:c r="G5" t="str">
        <x:v>Ready</x:v>
      </x:c>
      <x:c r="I5" t="str">
        <x:v>Screened ready</x:v>
      </x:c>
      <x:c r="J5" t="n">
        <x:f>COUNTIF(G2:G46,"Ready")</x:f>
        <x:v>16</x:v>
      </x:c>
    </x:row>
    <x:row r="6">
      <x:c r="A6" t="str">
        <x:v>C005</x:v>
      </x:c>
      <x:c r="B6" t="str">
        <x:v>Bathroom Cleaning</x:v>
      </x:c>
      <x:c r="C6" t="str">
        <x:v>Kukatpally</x:v>
      </x:c>
      <x:c r="D6" t="n">
        <x:v>91</x:v>
      </x:c>
      <x:c r="E6" t="n">
        <x:v>1</x:v>
      </x:c>
      <x:c r="F6" t="n">
        <x:v>1</x:v>
      </x:c>
      <x:c r="G6" t="str">
        <x:v>Ready</x:v>
      </x:c>
      <x:c r="I6" t="str">
        <x:v>Selected</x:v>
      </x:c>
      <x:c r="J6" t="n">
        <x:f>COUNTA('Onboarding Plan'!A2:A13)</x:f>
        <x:v>12</x:v>
      </x:c>
    </x:row>
    <x:row r="7">
      <x:c r="A7" t="str">
        <x:v>C006</x:v>
      </x:c>
      <x:c r="B7" t="str">
        <x:v>Electrician</x:v>
      </x:c>
      <x:c r="C7" t="str">
        <x:v>Gachibowli</x:v>
      </x:c>
      <x:c r="D7" t="n">
        <x:v>70</x:v>
      </x:c>
      <x:c r="E7" t="n">
        <x:v>1</x:v>
      </x:c>
      <x:c r="F7" t="n">
        <x:v>1</x:v>
      </x:c>
      <x:c r="G7" t="str">
        <x:v>Assessment below threshold</x:v>
      </x:c>
      <x:c r="I7" t="str">
        <x:v>Activation rate / applicant (%)</x:v>
      </x:c>
      <x:c r="J7" s="26" t="n">
        <x:f>IFERROR(100*J6/J2,0)</x:f>
        <x:v>26.666666666666668</x:v>
      </x:c>
    </x:row>
    <x:row r="8">
      <x:c r="A8" t="str">
        <x:v>C007</x:v>
      </x:c>
      <x:c r="B8" t="str">
        <x:v>AC Repair</x:v>
      </x:c>
      <x:c r="C8" t="str">
        <x:v>HITEC City</x:v>
      </x:c>
      <x:c r="D8" t="n">
        <x:v>64</x:v>
      </x:c>
      <x:c r="E8" t="n">
        <x:v>1</x:v>
      </x:c>
      <x:c r="F8" t="n">
        <x:v>1</x:v>
      </x:c>
      <x:c r="G8" t="str">
        <x:v>Assessment below threshold</x:v>
      </x:c>
    </x:row>
    <x:row r="9">
      <x:c r="A9" t="str">
        <x:v>C008</x:v>
      </x:c>
      <x:c r="B9" t="str">
        <x:v>Bathroom Cleaning</x:v>
      </x:c>
      <x:c r="C9" t="str">
        <x:v>Manikonda</x:v>
      </x:c>
      <x:c r="D9" t="n">
        <x:v>58</x:v>
      </x:c>
      <x:c r="E9" t="n">
        <x:v>1</x:v>
      </x:c>
      <x:c r="F9" t="n">
        <x:v>0</x:v>
      </x:c>
      <x:c r="G9" t="str">
        <x:v>Training required</x:v>
      </x:c>
    </x:row>
    <x:row r="10">
      <x:c r="A10" t="str">
        <x:v>C009</x:v>
      </x:c>
      <x:c r="B10" t="str">
        <x:v>AC Repair</x:v>
      </x:c>
      <x:c r="C10" t="str">
        <x:v>Kondapur</x:v>
      </x:c>
      <x:c r="D10" t="n">
        <x:v>77</x:v>
      </x:c>
      <x:c r="E10" t="n">
        <x:v>1</x:v>
      </x:c>
      <x:c r="F10" t="n">
        <x:v>1</x:v>
      </x:c>
      <x:c r="G10" t="str">
        <x:v>Ready</x:v>
      </x:c>
    </x:row>
    <x:row r="11">
      <x:c r="A11" t="str">
        <x:v>C010</x:v>
      </x:c>
      <x:c r="B11" t="str">
        <x:v>Bathroom Cleaning</x:v>
      </x:c>
      <x:c r="C11" t="str">
        <x:v>Kukatpally</x:v>
      </x:c>
      <x:c r="D11" t="n">
        <x:v>90</x:v>
      </x:c>
      <x:c r="E11" t="n">
        <x:v>1</x:v>
      </x:c>
      <x:c r="F11" t="n">
        <x:v>1</x:v>
      </x:c>
      <x:c r="G11" t="str">
        <x:v>Ready</x:v>
      </x:c>
    </x:row>
    <x:row r="12">
      <x:c r="A12" t="str">
        <x:v>C011</x:v>
      </x:c>
      <x:c r="B12" t="str">
        <x:v>Electrician</x:v>
      </x:c>
      <x:c r="C12" t="str">
        <x:v>Gachibowli</x:v>
      </x:c>
      <x:c r="D12" t="n">
        <x:v>78</x:v>
      </x:c>
      <x:c r="E12" t="n">
        <x:v>1</x:v>
      </x:c>
      <x:c r="F12" t="n">
        <x:v>1</x:v>
      </x:c>
      <x:c r="G12" t="str">
        <x:v>Ready</x:v>
      </x:c>
    </x:row>
    <x:row r="13">
      <x:c r="A13" t="str">
        <x:v>C012</x:v>
      </x:c>
      <x:c r="B13" t="str">
        <x:v>AC Repair</x:v>
      </x:c>
      <x:c r="C13" t="str">
        <x:v>HITEC City</x:v>
      </x:c>
      <x:c r="D13" t="n">
        <x:v>91</x:v>
      </x:c>
      <x:c r="E13" t="n">
        <x:v>1</x:v>
      </x:c>
      <x:c r="F13" t="n">
        <x:v>0</x:v>
      </x:c>
      <x:c r="G13" t="str">
        <x:v>Training required</x:v>
      </x:c>
    </x:row>
    <x:row r="14">
      <x:c r="A14" t="str">
        <x:v>C013</x:v>
      </x:c>
      <x:c r="B14" t="str">
        <x:v>Bathroom Cleaning</x:v>
      </x:c>
      <x:c r="C14" t="str">
        <x:v>Manikonda</x:v>
      </x:c>
      <x:c r="D14" t="n">
        <x:v>96</x:v>
      </x:c>
      <x:c r="E14" t="n">
        <x:v>1</x:v>
      </x:c>
      <x:c r="F14" t="n">
        <x:v>1</x:v>
      </x:c>
      <x:c r="G14" t="str">
        <x:v>Ready</x:v>
      </x:c>
    </x:row>
    <x:row r="15">
      <x:c r="A15" t="str">
        <x:v>C014</x:v>
      </x:c>
      <x:c r="B15" t="str">
        <x:v>Electrician</x:v>
      </x:c>
      <x:c r="C15" t="str">
        <x:v>Kondapur</x:v>
      </x:c>
      <x:c r="D15" t="n">
        <x:v>80</x:v>
      </x:c>
      <x:c r="E15" t="n">
        <x:v>1</x:v>
      </x:c>
      <x:c r="F15" t="n">
        <x:v>1</x:v>
      </x:c>
      <x:c r="G15" t="str">
        <x:v>Ready</x:v>
      </x:c>
    </x:row>
    <x:row r="16">
      <x:c r="A16" t="str">
        <x:v>C015</x:v>
      </x:c>
      <x:c r="B16" t="str">
        <x:v>AC Repair</x:v>
      </x:c>
      <x:c r="C16" t="str">
        <x:v>Kukatpally</x:v>
      </x:c>
      <x:c r="D16" t="n">
        <x:v>66</x:v>
      </x:c>
      <x:c r="E16" t="n">
        <x:v>1</x:v>
      </x:c>
      <x:c r="F16" t="n">
        <x:v>1</x:v>
      </x:c>
      <x:c r="G16" t="str">
        <x:v>Assessment below threshold</x:v>
      </x:c>
    </x:row>
    <x:row r="17">
      <x:c r="A17" t="str">
        <x:v>C016</x:v>
      </x:c>
      <x:c r="B17" t="str">
        <x:v>Bathroom Cleaning</x:v>
      </x:c>
      <x:c r="C17" t="str">
        <x:v>Gachibowli</x:v>
      </x:c>
      <x:c r="D17" t="n">
        <x:v>67</x:v>
      </x:c>
      <x:c r="E17" t="n">
        <x:v>1</x:v>
      </x:c>
      <x:c r="F17" t="n">
        <x:v>0</x:v>
      </x:c>
      <x:c r="G17" t="str">
        <x:v>Training required</x:v>
      </x:c>
    </x:row>
    <x:row r="18">
      <x:c r="A18" t="str">
        <x:v>C017</x:v>
      </x:c>
      <x:c r="B18" t="str">
        <x:v>AC Repair</x:v>
      </x:c>
      <x:c r="C18" t="str">
        <x:v>HITEC City</x:v>
      </x:c>
      <x:c r="D18" t="n">
        <x:v>79</x:v>
      </x:c>
      <x:c r="E18" t="n">
        <x:v>0</x:v>
      </x:c>
      <x:c r="F18" t="n">
        <x:v>0</x:v>
      </x:c>
      <x:c r="G18" t="str">
        <x:v>Screening failed</x:v>
      </x:c>
    </x:row>
    <x:row r="19">
      <x:c r="A19" t="str">
        <x:v>C018</x:v>
      </x:c>
      <x:c r="B19" t="str">
        <x:v>Bathroom Cleaning</x:v>
      </x:c>
      <x:c r="C19" t="str">
        <x:v>Manikonda</x:v>
      </x:c>
      <x:c r="D19" t="n">
        <x:v>57</x:v>
      </x:c>
      <x:c r="E19" t="n">
        <x:v>1</x:v>
      </x:c>
      <x:c r="F19" t="n">
        <x:v>1</x:v>
      </x:c>
      <x:c r="G19" t="str">
        <x:v>Assessment below threshold</x:v>
      </x:c>
    </x:row>
    <x:row r="20">
      <x:c r="A20" t="str">
        <x:v>C019</x:v>
      </x:c>
      <x:c r="B20" t="str">
        <x:v>Electrician</x:v>
      </x:c>
      <x:c r="C20" t="str">
        <x:v>Kondapur</x:v>
      </x:c>
      <x:c r="D20" t="n">
        <x:v>74</x:v>
      </x:c>
      <x:c r="E20" t="n">
        <x:v>0</x:v>
      </x:c>
      <x:c r="F20" t="n">
        <x:v>0</x:v>
      </x:c>
      <x:c r="G20" t="str">
        <x:v>Screening failed</x:v>
      </x:c>
    </x:row>
    <x:row r="21">
      <x:c r="A21" t="str">
        <x:v>C020</x:v>
      </x:c>
      <x:c r="B21" t="str">
        <x:v>AC Repair</x:v>
      </x:c>
      <x:c r="C21" t="str">
        <x:v>Kukatpally</x:v>
      </x:c>
      <x:c r="D21" t="n">
        <x:v>90</x:v>
      </x:c>
      <x:c r="E21" t="n">
        <x:v>1</x:v>
      </x:c>
      <x:c r="F21" t="n">
        <x:v>1</x:v>
      </x:c>
      <x:c r="G21" t="str">
        <x:v>Ready</x:v>
      </x:c>
    </x:row>
    <x:row r="22">
      <x:c r="A22" t="str">
        <x:v>C021</x:v>
      </x:c>
      <x:c r="B22" t="str">
        <x:v>Bathroom Cleaning</x:v>
      </x:c>
      <x:c r="C22" t="str">
        <x:v>Gachibowli</x:v>
      </x:c>
      <x:c r="D22" t="n">
        <x:v>94</x:v>
      </x:c>
      <x:c r="E22" t="n">
        <x:v>1</x:v>
      </x:c>
      <x:c r="F22" t="n">
        <x:v>1</x:v>
      </x:c>
      <x:c r="G22" t="str">
        <x:v>Ready</x:v>
      </x:c>
    </x:row>
    <x:row r="23">
      <x:c r="A23" t="str">
        <x:v>C022</x:v>
      </x:c>
      <x:c r="B23" t="str">
        <x:v>Electrician</x:v>
      </x:c>
      <x:c r="C23" t="str">
        <x:v>HITEC City</x:v>
      </x:c>
      <x:c r="D23" t="n">
        <x:v>82</x:v>
      </x:c>
      <x:c r="E23" t="n">
        <x:v>1</x:v>
      </x:c>
      <x:c r="F23" t="n">
        <x:v>1</x:v>
      </x:c>
      <x:c r="G23" t="str">
        <x:v>Ready</x:v>
      </x:c>
    </x:row>
    <x:row r="24">
      <x:c r="A24" t="str">
        <x:v>C023</x:v>
      </x:c>
      <x:c r="B24" t="str">
        <x:v>AC Repair</x:v>
      </x:c>
      <x:c r="C24" t="str">
        <x:v>Manikonda</x:v>
      </x:c>
      <x:c r="D24" t="n">
        <x:v>70</x:v>
      </x:c>
      <x:c r="E24" t="n">
        <x:v>1</x:v>
      </x:c>
      <x:c r="F24" t="n">
        <x:v>1</x:v>
      </x:c>
      <x:c r="G24" t="str">
        <x:v>Assessment below threshold</x:v>
      </x:c>
    </x:row>
    <x:row r="25">
      <x:c r="A25" t="str">
        <x:v>C024</x:v>
      </x:c>
      <x:c r="B25" t="str">
        <x:v>Bathroom Cleaning</x:v>
      </x:c>
      <x:c r="C25" t="str">
        <x:v>Kondapur</x:v>
      </x:c>
      <x:c r="D25" t="n">
        <x:v>60</x:v>
      </x:c>
      <x:c r="E25" t="n">
        <x:v>1</x:v>
      </x:c>
      <x:c r="F25" t="n">
        <x:v>1</x:v>
      </x:c>
      <x:c r="G25" t="str">
        <x:v>Assessment below threshold</x:v>
      </x:c>
    </x:row>
    <x:row r="26">
      <x:c r="A26" t="str">
        <x:v>C025</x:v>
      </x:c>
      <x:c r="B26" t="str">
        <x:v>AC Repair</x:v>
      </x:c>
      <x:c r="C26" t="str">
        <x:v>Kukatpally</x:v>
      </x:c>
      <x:c r="D26" t="n">
        <x:v>56</x:v>
      </x:c>
      <x:c r="E26" t="n">
        <x:v>1</x:v>
      </x:c>
      <x:c r="F26" t="n">
        <x:v>1</x:v>
      </x:c>
      <x:c r="G26" t="str">
        <x:v>Assessment below threshold</x:v>
      </x:c>
    </x:row>
    <x:row r="27">
      <x:c r="A27" t="str">
        <x:v>C026</x:v>
      </x:c>
      <x:c r="B27" t="str">
        <x:v>Bathroom Cleaning</x:v>
      </x:c>
      <x:c r="C27" t="str">
        <x:v>Gachibowli</x:v>
      </x:c>
      <x:c r="D27" t="n">
        <x:v>72</x:v>
      </x:c>
      <x:c r="E27" t="n">
        <x:v>1</x:v>
      </x:c>
      <x:c r="F27" t="n">
        <x:v>0</x:v>
      </x:c>
      <x:c r="G27" t="str">
        <x:v>Training required</x:v>
      </x:c>
    </x:row>
    <x:row r="28">
      <x:c r="A28" t="str">
        <x:v>C027</x:v>
      </x:c>
      <x:c r="B28" t="str">
        <x:v>Electrician</x:v>
      </x:c>
      <x:c r="C28" t="str">
        <x:v>HITEC City</x:v>
      </x:c>
      <x:c r="D28" t="n">
        <x:v>89</x:v>
      </x:c>
      <x:c r="E28" t="n">
        <x:v>1</x:v>
      </x:c>
      <x:c r="F28" t="n">
        <x:v>0</x:v>
      </x:c>
      <x:c r="G28" t="str">
        <x:v>Training required</x:v>
      </x:c>
    </x:row>
    <x:row r="29">
      <x:c r="A29" t="str">
        <x:v>C028</x:v>
      </x:c>
      <x:c r="B29" t="str">
        <x:v>AC Repair</x:v>
      </x:c>
      <x:c r="C29" t="str">
        <x:v>Manikonda</x:v>
      </x:c>
      <x:c r="D29" t="n">
        <x:v>79</x:v>
      </x:c>
      <x:c r="E29" t="n">
        <x:v>1</x:v>
      </x:c>
      <x:c r="F29" t="n">
        <x:v>1</x:v>
      </x:c>
      <x:c r="G29" t="str">
        <x:v>Ready</x:v>
      </x:c>
    </x:row>
    <x:row r="30">
      <x:c r="A30" t="str">
        <x:v>C029</x:v>
      </x:c>
      <x:c r="B30" t="str">
        <x:v>Bathroom Cleaning</x:v>
      </x:c>
      <x:c r="C30" t="str">
        <x:v>Kondapur</x:v>
      </x:c>
      <x:c r="D30" t="n">
        <x:v>84</x:v>
      </x:c>
      <x:c r="E30" t="n">
        <x:v>1</x:v>
      </x:c>
      <x:c r="F30" t="n">
        <x:v>1</x:v>
      </x:c>
      <x:c r="G30" t="str">
        <x:v>Ready</x:v>
      </x:c>
    </x:row>
    <x:row r="31">
      <x:c r="A31" t="str">
        <x:v>C030</x:v>
      </x:c>
      <x:c r="B31" t="str">
        <x:v>Electrician</x:v>
      </x:c>
      <x:c r="C31" t="str">
        <x:v>Kukatpally</x:v>
      </x:c>
      <x:c r="D31" t="n">
        <x:v>62</x:v>
      </x:c>
      <x:c r="E31" t="n">
        <x:v>0</x:v>
      </x:c>
      <x:c r="F31" t="n">
        <x:v>1</x:v>
      </x:c>
      <x:c r="G31" t="str">
        <x:v>Screening failed</x:v>
      </x:c>
    </x:row>
    <x:row r="32">
      <x:c r="A32" t="str">
        <x:v>C031</x:v>
      </x:c>
      <x:c r="B32" t="str">
        <x:v>AC Repair</x:v>
      </x:c>
      <x:c r="C32" t="str">
        <x:v>Gachibowli</x:v>
      </x:c>
      <x:c r="D32" t="n">
        <x:v>87</x:v>
      </x:c>
      <x:c r="E32" t="n">
        <x:v>0</x:v>
      </x:c>
      <x:c r="F32" t="n">
        <x:v>1</x:v>
      </x:c>
      <x:c r="G32" t="str">
        <x:v>Screening failed</x:v>
      </x:c>
    </x:row>
    <x:row r="33">
      <x:c r="A33" t="str">
        <x:v>C032</x:v>
      </x:c>
      <x:c r="B33" t="str">
        <x:v>Bathroom Cleaning</x:v>
      </x:c>
      <x:c r="C33" t="str">
        <x:v>HITEC City</x:v>
      </x:c>
      <x:c r="D33" t="n">
        <x:v>60</x:v>
      </x:c>
      <x:c r="E33" t="n">
        <x:v>1</x:v>
      </x:c>
      <x:c r="F33" t="n">
        <x:v>1</x:v>
      </x:c>
      <x:c r="G33" t="str">
        <x:v>Assessment below threshold</x:v>
      </x:c>
    </x:row>
    <x:row r="34">
      <x:c r="A34" t="str">
        <x:v>C033</x:v>
      </x:c>
      <x:c r="B34" t="str">
        <x:v>AC Repair</x:v>
      </x:c>
      <x:c r="C34" t="str">
        <x:v>Manikonda</x:v>
      </x:c>
      <x:c r="D34" t="n">
        <x:v>69</x:v>
      </x:c>
      <x:c r="E34" t="n">
        <x:v>1</x:v>
      </x:c>
      <x:c r="F34" t="n">
        <x:v>1</x:v>
      </x:c>
      <x:c r="G34" t="str">
        <x:v>Assessment below threshold</x:v>
      </x:c>
    </x:row>
    <x:row r="35">
      <x:c r="A35" t="str">
        <x:v>C034</x:v>
      </x:c>
      <x:c r="B35" t="str">
        <x:v>Bathroom Cleaning</x:v>
      </x:c>
      <x:c r="C35" t="str">
        <x:v>Kondapur</x:v>
      </x:c>
      <x:c r="D35" t="n">
        <x:v>58</x:v>
      </x:c>
      <x:c r="E35" t="n">
        <x:v>1</x:v>
      </x:c>
      <x:c r="F35" t="n">
        <x:v>1</x:v>
      </x:c>
      <x:c r="G35" t="str">
        <x:v>Assessment below threshold</x:v>
      </x:c>
    </x:row>
    <x:row r="36">
      <x:c r="A36" t="str">
        <x:v>C035</x:v>
      </x:c>
      <x:c r="B36" t="str">
        <x:v>Electrician</x:v>
      </x:c>
      <x:c r="C36" t="str">
        <x:v>Kukatpally</x:v>
      </x:c>
      <x:c r="D36" t="n">
        <x:v>94</x:v>
      </x:c>
      <x:c r="E36" t="n">
        <x:v>0</x:v>
      </x:c>
      <x:c r="F36" t="n">
        <x:v>1</x:v>
      </x:c>
      <x:c r="G36" t="str">
        <x:v>Screening failed</x:v>
      </x:c>
    </x:row>
    <x:row r="37">
      <x:c r="A37" t="str">
        <x:v>C036</x:v>
      </x:c>
      <x:c r="B37" t="str">
        <x:v>AC Repair</x:v>
      </x:c>
      <x:c r="C37" t="str">
        <x:v>Gachibowli</x:v>
      </x:c>
      <x:c r="D37" t="n">
        <x:v>70</x:v>
      </x:c>
      <x:c r="E37" t="n">
        <x:v>1</x:v>
      </x:c>
      <x:c r="F37" t="n">
        <x:v>1</x:v>
      </x:c>
      <x:c r="G37" t="str">
        <x:v>Assessment below threshold</x:v>
      </x:c>
    </x:row>
    <x:row r="38">
      <x:c r="A38" t="str">
        <x:v>C037</x:v>
      </x:c>
      <x:c r="B38" t="str">
        <x:v>Bathroom Cleaning</x:v>
      </x:c>
      <x:c r="C38" t="str">
        <x:v>HITEC City</x:v>
      </x:c>
      <x:c r="D38" t="n">
        <x:v>94</x:v>
      </x:c>
      <x:c r="E38" t="n">
        <x:v>1</x:v>
      </x:c>
      <x:c r="F38" t="n">
        <x:v>1</x:v>
      </x:c>
      <x:c r="G38" t="str">
        <x:v>Ready</x:v>
      </x:c>
    </x:row>
    <x:row r="39">
      <x:c r="A39" t="str">
        <x:v>C038</x:v>
      </x:c>
      <x:c r="B39" t="str">
        <x:v>Electrician</x:v>
      </x:c>
      <x:c r="C39" t="str">
        <x:v>Manikonda</x:v>
      </x:c>
      <x:c r="D39" t="n">
        <x:v>93</x:v>
      </x:c>
      <x:c r="E39" t="n">
        <x:v>1</x:v>
      </x:c>
      <x:c r="F39" t="n">
        <x:v>1</x:v>
      </x:c>
      <x:c r="G39" t="str">
        <x:v>Ready</x:v>
      </x:c>
    </x:row>
    <x:row r="40">
      <x:c r="A40" t="str">
        <x:v>C039</x:v>
      </x:c>
      <x:c r="B40" t="str">
        <x:v>AC Repair</x:v>
      </x:c>
      <x:c r="C40" t="str">
        <x:v>Kondapur</x:v>
      </x:c>
      <x:c r="D40" t="n">
        <x:v>67</x:v>
      </x:c>
      <x:c r="E40" t="n">
        <x:v>1</x:v>
      </x:c>
      <x:c r="F40" t="n">
        <x:v>1</x:v>
      </x:c>
      <x:c r="G40" t="str">
        <x:v>Assessment below threshold</x:v>
      </x:c>
    </x:row>
    <x:row r="41">
      <x:c r="A41" t="str">
        <x:v>C040</x:v>
      </x:c>
      <x:c r="B41" t="str">
        <x:v>Bathroom Cleaning</x:v>
      </x:c>
      <x:c r="C41" t="str">
        <x:v>Kukatpally</x:v>
      </x:c>
      <x:c r="D41" t="n">
        <x:v>88</x:v>
      </x:c>
      <x:c r="E41" t="n">
        <x:v>1</x:v>
      </x:c>
      <x:c r="F41" t="n">
        <x:v>1</x:v>
      </x:c>
      <x:c r="G41" t="str">
        <x:v>Ready</x:v>
      </x:c>
    </x:row>
    <x:row r="42">
      <x:c r="A42" t="str">
        <x:v>C041</x:v>
      </x:c>
      <x:c r="B42" t="str">
        <x:v>AC Repair</x:v>
      </x:c>
      <x:c r="C42" t="str">
        <x:v>Gachibowli</x:v>
      </x:c>
      <x:c r="D42" t="n">
        <x:v>95</x:v>
      </x:c>
      <x:c r="E42" t="n">
        <x:v>0</x:v>
      </x:c>
      <x:c r="F42" t="n">
        <x:v>1</x:v>
      </x:c>
      <x:c r="G42" t="str">
        <x:v>Screening failed</x:v>
      </x:c>
    </x:row>
    <x:row r="43">
      <x:c r="A43" t="str">
        <x:v>C042</x:v>
      </x:c>
      <x:c r="B43" t="str">
        <x:v>Bathroom Cleaning</x:v>
      </x:c>
      <x:c r="C43" t="str">
        <x:v>HITEC City</x:v>
      </x:c>
      <x:c r="D43" t="n">
        <x:v>56</x:v>
      </x:c>
      <x:c r="E43" t="n">
        <x:v>1</x:v>
      </x:c>
      <x:c r="F43" t="n">
        <x:v>1</x:v>
      </x:c>
      <x:c r="G43" t="str">
        <x:v>Assessment below threshold</x:v>
      </x:c>
    </x:row>
    <x:row r="44">
      <x:c r="A44" t="str">
        <x:v>C043</x:v>
      </x:c>
      <x:c r="B44" t="str">
        <x:v>Electrician</x:v>
      </x:c>
      <x:c r="C44" t="str">
        <x:v>Manikonda</x:v>
      </x:c>
      <x:c r="D44" t="n">
        <x:v>70</x:v>
      </x:c>
      <x:c r="E44" t="n">
        <x:v>1</x:v>
      </x:c>
      <x:c r="F44" t="n">
        <x:v>1</x:v>
      </x:c>
      <x:c r="G44" t="str">
        <x:v>Assessment below threshold</x:v>
      </x:c>
    </x:row>
    <x:row r="45">
      <x:c r="A45" t="str">
        <x:v>C044</x:v>
      </x:c>
      <x:c r="B45" t="str">
        <x:v>AC Repair</x:v>
      </x:c>
      <x:c r="C45" t="str">
        <x:v>Kondapur</x:v>
      </x:c>
      <x:c r="D45" t="n">
        <x:v>98</x:v>
      </x:c>
      <x:c r="E45" t="n">
        <x:v>0</x:v>
      </x:c>
      <x:c r="F45" t="n">
        <x:v>1</x:v>
      </x:c>
      <x:c r="G45" t="str">
        <x:v>Screening failed</x:v>
      </x:c>
    </x:row>
    <x:row r="46">
      <x:c r="A46" t="str">
        <x:v>C045</x:v>
      </x:c>
      <x:c r="B46" t="str">
        <x:v>Bathroom Cleaning</x:v>
      </x:c>
      <x:c r="C46" t="str">
        <x:v>Kukatpally</x:v>
      </x:c>
      <x:c r="D46" t="n">
        <x:v>86</x:v>
      </x:c>
      <x:c r="E46" t="n">
        <x:v>1</x:v>
      </x:c>
      <x:c r="F46" t="n">
        <x:v>0</x:v>
      </x:c>
      <x:c r="G46" t="str">
        <x:v>Training required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7" hidden="0" customWidth="1"/>
    <x:col min="3" max="3" width="82" hidden="0" customWidth="1"/>
  </x:cols>
  <x:sheetData>
    <x:row r="1" ht="31" customHeight="1">
      <x:c r="A1" s="5" t="str">
        <x:v>CLASSIFICATION</x:v>
      </x:c>
      <x:c r="B1" s="5" t="str">
        <x:v>RESEARCH BASIS</x:v>
      </x:c>
      <x:c r="C1" s="5" t="str">
        <x:v>REFERENCE / ASSUMPTION</x:v>
      </x:c>
    </x:row>
    <x:row r="2" ht="33" customHeight="1">
      <x:c r="A2" s="68" t="str">
        <x:v>Official service catalog</x:v>
      </x:c>
      <x:c r="B2" s="68" t="str">
        <x:v>Three modeled categories reflect available Hyderabad listings</x:v>
      </x:c>
      <x:c r="C2" s="68" t="str">
        <x:v>https://www.urbancompany.com/Hyderabad</x:v>
      </x:c>
    </x:row>
    <x:row r="3" ht="33" customHeight="1">
      <x:c r="A3" s="68" t="str">
        <x:v>Official partner program</x:v>
      </x:c>
      <x:c r="B3" s="68" t="str">
        <x:v>Training, certification, quality &amp; fulfillment are real operating concerns</x:v>
      </x:c>
      <x:c r="C3" s="68" t="str">
        <x:v>https://investorrelations.urbancompany.com/announcements-and-highlights/service-professional-enablement</x:v>
      </x:c>
    </x:row>
    <x:row r="4" ht="33" customHeight="1">
      <x:c r="A4" s="68" t="str">
        <x:v>Provided campus JD</x:v>
      </x:c>
      <x:c r="B4" s="68" t="str">
        <x:v>Local supply, daily city operations, quality initiatives</x:v>
      </x:c>
      <x:c r="C4" s="68" t="str">
        <x:v>User-provided Campus Category Manager (Business Operations).pdf, page 2</x:v>
      </x:c>
    </x:row>
    <x:row r="5" ht="33" customHeight="1">
      <x:c r="A5" s="68" t="str">
        <x:v>Synthetic study period</x:v>
      </x:c>
      <x:c r="B5" s="68" t="str">
        <x:v>Sept 1–28, 2026</x:v>
      </x:c>
      <x:c r="C5" s="68" t="str">
        <x:v>Planning days 1–10; holdout days 11–28</x:v>
      </x:c>
    </x:row>
    <x:row r="6" ht="33" customHeight="1">
      <x:c r="A6" s="68" t="str">
        <x:v>Existing partner cohort</x:v>
      </x:c>
      <x:c r="B6" s="68" t="str">
        <x:v>96</x:v>
      </x:c>
      <x:c r="C6" s="68" t="str">
        <x:v>Generated, not UC partner count</x:v>
      </x:c>
    </x:row>
    <x:row r="7" ht="33" customHeight="1">
      <x:c r="A7" s="68" t="str">
        <x:v>Candidate funnel</x:v>
      </x:c>
      <x:c r="B7" s="68" t="str">
        <x:v>45</x:v>
      </x:c>
      <x:c r="C7" s="68" t="str">
        <x:v>Synthetic screened applicants</x:v>
      </x:c>
    </x:row>
    <x:row r="8" ht="33" customHeight="1">
      <x:c r="A8" s="68" t="str">
        <x:v>New partners selected</x:v>
      </x:c>
      <x:c r="B8" s="68" t="str">
        <x:v>12</x:v>
      </x:c>
      <x:c r="C8" s="68" t="str">
        <x:v>Based on first 10 days gap proxy; activate from day 13</x:v>
      </x:c>
    </x:row>
    <x:row r="9" ht="33" customHeight="1">
      <x:c r="A9" s="68" t="str">
        <x:v>Travel service level</x:v>
      </x:c>
      <x:c r="B9" s="68" t="str">
        <x:v>&lt;= 45 min estimated travel proxy</x:v>
      </x:c>
      <x:c r="C9" s="68" t="str">
        <x:v>Assumed; not a public UC SLA</x:v>
      </x:c>
    </x:row>
    <x:row r="10" ht="33" customHeight="1">
      <x:c r="A10" s="68" t="str">
        <x:v>Service price proxy</x:v>
      </x:c>
      <x:c r="B10" s="68" t="str">
        <x:v>INR 550/900/1100 depending on category</x:v>
      </x:c>
      <x:c r="C10" s="68" t="str">
        <x:v>Illustrative; not actual UC item prices / commissions</x:v>
      </x:c>
    </x:row>
    <x:row r="11" ht="33" customHeight="1">
      <x:c r="A11" s="68" t="str">
        <x:v>Onboarding unit cost</x:v>
      </x:c>
      <x:c r="B11" s="68" t="str">
        <x:v>INR 1,500</x:v>
      </x:c>
      <x:c r="C11" s="68" t="str">
        <x:v>Illustrative program budget assumption</x:v>
      </x:c>
    </x:row>
    <x:row r="12" ht="33" customHeight="1">
      <x:c r="A12" s="68" t="str">
        <x:v>Coaching unit cost</x:v>
      </x:c>
      <x:c r="B12" s="68" t="str">
        <x:v>INR 450</x:v>
      </x:c>
      <x:c r="C12" s="68" t="str">
        <x:v>Illustrative program budget assumption</x:v>
      </x:c>
    </x:row>
    <x:row r="13" ht="33" customHeight="1">
      <x:c r="A13" s="68" t="str">
        <x:v>Flexible shift experiment</x:v>
      </x:c>
      <x:c r="B13" s="68" t="str">
        <x:v>2 slots/partner preserved</x:v>
      </x:c>
      <x:c r="C13" s="68" t="str">
        <x:v>Experiment not recommended without local validation</x:v>
      </x:c>
    </x:row>
    <x:row r="14" ht="33" customHeight="1">
      <x:c r="A14" s="68" t="str">
        <x:v>Limitations</x:v>
      </x:c>
      <x:c r="B14" s="68" t="str">
        <x:v>No real demand, compensation, geography, ratings, or causal field trial</x:v>
      </x:c>
      <x:c r="C14" s="68" t="str">
        <x:v>All performance metrics are model outputs</x:v>
      </x:c>
    </x:row>
    <x:row r="15" ht="33" customHeight="1">
      <x:c r="A15" s="68"/>
      <x:c r="B15" s="68"/>
      <x:c r="C15" s="68"/>
    </x:row>
    <x:row r="16" ht="33" customHeight="1">
      <x:c r="A16" s="68"/>
      <x:c r="B16" s="68"/>
      <x:c r="C16" s="68"/>
    </x:row>
    <x:row r="17" ht="33" customHeight="1">
      <x:c r="A17" s="68"/>
      <x:c r="B17" s="68"/>
      <x:c r="C17" s="68"/>
    </x:row>
    <x:row r="18" ht="33" customHeight="1">
      <x:c r="A18" s="68"/>
      <x:c r="B18" s="68"/>
      <x:c r="C18" s="68"/>
    </x:row>
    <x:row r="19" ht="33" customHeight="1">
      <x:c r="A19" s="68"/>
      <x:c r="B19" s="68"/>
      <x:c r="C19" s="68"/>
    </x:row>
    <x:row r="20" ht="33" customHeight="1">
      <x:c r="A20" s="68"/>
      <x:c r="B20" s="68"/>
      <x:c r="C20" s="68"/>
    </x:row>
  </x:sheetData>
  <x:pageMargins left="0.7" right="0.7" top="0.75" bottom="0.75" header="0.3" footer="0.3"/>
</x:worksheet>
</file>